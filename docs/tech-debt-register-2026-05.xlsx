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gister" sheetId="2" state="visible" r:id="rId4"/>
    <sheet name="By category" sheetId="3" state="visible" r:id="rId5"/>
    <sheet name="Phased plan" sheetId="4" state="visible" r:id="rId6"/>
    <sheet name="Methodology" sheetId="5" state="visible" r:id="rId7"/>
  </sheets>
  <definedNames>
    <definedName function="false" hidden="true" localSheetId="1" name="_xlnm._FilterDatabase" vbProcedure="false">Register!$A$1:$K$28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<sst xmlns="http://schemas.openxmlformats.org/spreadsheetml/2006/main" count="396" uniqueCount="285">
  <si>
    <t xml:space="preserve">Tech debt audit — queer.guide</t>
  </si>
  <si>
    <t xml:space="preserve">Generated 2026-05-01 · scope: whole repo · focus: code quality</t>
  </si>
  <si>
    <t xml:space="preserve">How to read this register</t>
  </si>
  <si>
    <t xml:space="preserve">Categories</t>
  </si>
  <si>
    <t xml:space="preserve">Architecture, Large components, Duplicated logic, Type safety, Build &amp; dev loop, Test debt, Database, Documentation.</t>
  </si>
  <si>
    <t xml:space="preserve">Scoring</t>
  </si>
  <si>
    <t xml:space="preserve">Impact, Risk, Effort each 1-5. Priority = (Impact + Risk) × (6 - Effort). Range 2-50. Higher = do sooner.</t>
  </si>
  <si>
    <t xml:space="preserve">Impact</t>
  </si>
  <si>
    <t xml:space="preserve">1 = barely felt · 5 = team-wide drag every day.</t>
  </si>
  <si>
    <t xml:space="preserve">Risk</t>
  </si>
  <si>
    <t xml:space="preserve">1 = nothing breaks · 5 = ships bugs / blocks an audit / hits an outage.</t>
  </si>
  <si>
    <t xml:space="preserve">Effort</t>
  </si>
  <si>
    <t xml:space="preserve">1 = afternoon · 5 = multi-week with cross-team coordination.</t>
  </si>
  <si>
    <t xml:space="preserve">Phase</t>
  </si>
  <si>
    <t xml:space="preserve">Phase 1 — quick wins (effort ≤ 2, ship alongside features). Phase 2 — strategic refactors (effort 3-4, dedicated quarter). Phase 3 — major investments. Backlog — track but don't schedule yet.</t>
  </si>
  <si>
    <t xml:space="preserve">Sheets</t>
  </si>
  <si>
    <t xml:space="preserve">  Register</t>
  </si>
  <si>
    <t xml:space="preserve">Every item with full detail, locations, and a concrete example refactor.</t>
  </si>
  <si>
    <t xml:space="preserve">  By category</t>
  </si>
  <si>
    <t xml:space="preserve">Roll-up of items per category for executive review.</t>
  </si>
  <si>
    <t xml:space="preserve">  Phased plan</t>
  </si>
  <si>
    <t xml:space="preserve">Items binned into Phase 1/2/3/Backlog with cumulative effort.</t>
  </si>
  <si>
    <t xml:space="preserve">  Methodology</t>
  </si>
  <si>
    <t xml:space="preserve">Source data the audit is built on (file counts, line counts, deps).</t>
  </si>
  <si>
    <t xml:space="preserve">Working alongside features</t>
  </si>
  <si>
    <t xml:space="preserve">Phase 1</t>
  </si>
  <si>
    <t xml:space="preserve">Pull one item into each sprint. Ship as the closing PR. ~1-2 days each.</t>
  </si>
  <si>
    <t xml:space="preserve">Phase 2</t>
  </si>
  <si>
    <t xml:space="preserve">Allocate ~20% capacity per sprint OR run a dedicated 2-week refactor block per quarter. Each item is a self-contained piece.</t>
  </si>
  <si>
    <t xml:space="preserve">Phase 3</t>
  </si>
  <si>
    <t xml:space="preserve">Schedule when team capacity allows; treat like a small project with its own design doc.</t>
  </si>
  <si>
    <t xml:space="preserve">Source data</t>
  </si>
  <si>
    <t xml:space="preserve">Codebase shape</t>
  </si>
  <si>
    <t xml:space="preserve">1,186 src TS/TSX files (875 .tsx, 311 .ts) · 282 hooks · 107 pages · 24 admin pages · 202 edge functions · 643 migrations · 100 frontend deps.</t>
  </si>
  <si>
    <t xml:space="preserve">Test ratio</t>
  </si>
  <si>
    <t xml:space="preserve">251 test files / 936 src files = 26.8% (healthy). E2E 21 specs but marked unmaintained.</t>
  </si>
  <si>
    <t xml:space="preserve">Bundle (last build)</t>
  </si>
  <si>
    <t xml:space="preserve">Total 13MB raw, ~1.88MB gzipped. Top chunks: maplibre 1.1MB, exceljs 917KB, PipelineBuilder 651KB, tiptap 593KB, mammoth 489KB.</t>
  </si>
  <si>
    <t xml:space="preserve">Reference</t>
  </si>
  <si>
    <t xml:space="preserve">docs/refactor-baseline.md (2026-03) shows codebase doubled in 2 months (95 → 282 hooks, 599 → 1,186 src files).</t>
  </si>
  <si>
    <t xml:space="preserve">ID</t>
  </si>
  <si>
    <t xml:space="preserve">Category</t>
  </si>
  <si>
    <t xml:space="preserve">Title</t>
  </si>
  <si>
    <t xml:space="preserve">Description</t>
  </si>
  <si>
    <t xml:space="preserve">Locations</t>
  </si>
  <si>
    <t xml:space="preserve">Impact (1-5)</t>
  </si>
  <si>
    <t xml:space="preserve">Risk (1-5)</t>
  </si>
  <si>
    <t xml:space="preserve">Effort (1-5)</t>
  </si>
  <si>
    <t xml:space="preserve">Priority</t>
  </si>
  <si>
    <t xml:space="preserve">Example refactor</t>
  </si>
  <si>
    <t xml:space="preserve">DOC-1</t>
  </si>
  <si>
    <t xml:space="preserve">Documentation</t>
  </si>
  <si>
    <t xml:space="preserve">CLAUDE.md is stale on counts, paths, workers, dead code</t>
  </si>
  <si>
    <t xml:space="preserve">CLAUDE.md says: 118 edge functions (actual 202), 435+ migrations (actual 643), two workers — email-ingest + scraper-api (actual four — ingest, search-proxy, snapshot-archiver, submit), references useSecureMapbox (does not exist), uses web/src/* paths in design section but actual is src/*. fetch-news legacy is documented as still-wired in NewsSourcesManager line 595-609 — finish removing. This is the agent/onboarding contract — drift here costs every contributor.</t>
  </si>
  <si>
    <t xml:space="preserve">CLAUDE.md (root)</t>
  </si>
  <si>
    <t xml:space="preserve">Phase 1 — Quick wins</t>
  </si>
  <si>
    <t xml:space="preserve">Run an audit pass: regenerate counts via find/wc, update Workers list, drop useSecureMapbox section, replace web/src/ → src/, add note that hook count grew 95 → 282 since 2026-03 baseline. Set up a CI check that fails the PR if the edge-function or migration count in CLAUDE.md drifts more than +/- 10% from `ls`.</t>
  </si>
  <si>
    <t xml:space="preserve">ARCH-2</t>
  </si>
  <si>
    <t xml:space="preserve">Architecture</t>
  </si>
  <si>
    <t xml:space="preserve">contentTypeRegistry.ts is a 1,430-line single file</t>
  </si>
  <si>
    <t xml:space="preserve">src/config/contentTypeRegistry.ts holds field configs for every content type (venue, event, city, country, news, personality, hotel, marketplace, …) plus validation hookups. Hard to navigate, every CMS field change touches this one file → review-merge friction, conflict-prone.</t>
  </si>
  <si>
    <t xml:space="preserve">src/config/contentTypeRegistry.ts</t>
  </si>
  <si>
    <t xml:space="preserve">Split into src/config/contentTypes/{venue,event,city,country,news,…}.ts and an index.ts barrel that assembles the registry. Tree-shake-friendly and lets the CMS code-split per type.</t>
  </si>
  <si>
    <t xml:space="preserve">ARCH-1</t>
  </si>
  <si>
    <t xml:space="preserve">Detail page family — 6 nearly identical 800–1400 line files</t>
  </si>
  <si>
    <t xml:space="preserve">CityDetail (1396), CountryDetail (1073), VenueDetail (999), EventDetail (1094), NewsDetail (778), PersonalityDetail (759), QueerVillageDetail (617), MarketplaceItemDetail (714), GroupDetail (619), HotelDetail (410) — all share the same scaffold: useParams → 4-7 useEffects → fetch entity + related sets → Hero/Tabs/Sidebar/SimilarItems/ReportButton. ~6.1k duplicated lines. Each new field, layout, or moderation feature has to be re-wired in N places.</t>
  </si>
  <si>
    <t xml:space="preserve">src/pages/CityDetail.tsx, CountryDetail.tsx, VenueDetail.tsx, EventDetail.tsx, NewsDetail.tsx, PersonalityDetail.tsx, QueerVillageDetail.tsx, MarketplaceItemDetail.tsx, GroupDetail.tsx, HotelDetail.tsx</t>
  </si>
  <si>
    <t xml:space="preserve">Phase 2 — Strategic refactors</t>
  </si>
  <si>
    <t xml:space="preserve">Create &lt;EntityDetailLayout entityType={...} hero={...} tabs={...} sidebar={...} /&gt; + a useEntityDetail&lt;T&gt;(slug, table, joinSpec) hook backed by useQuery. Migrate VenueDetail first as the canonical example; each subsequent migration drops 700+ lines. Stop using 4-7 useEffects per page — that pattern races and stale-closures.</t>
  </si>
  <si>
    <t xml:space="preserve">BUILD-1</t>
  </si>
  <si>
    <t xml:space="preserve">Build &amp; dev loop</t>
  </si>
  <si>
    <t xml:space="preserve">Production build ~10 min — investigate sourcemap upload + chunk count</t>
  </si>
  <si>
    <t xml:space="preserve">Per docs/refactor-baseline.md (2026-03), full prod build takes ~9m 48s. Likely drivers: Sentry sourcemap upload, 250+ chunks (cssCodeSplit + per-route lazy), minification of large vendor chunks (maplibre 1.0MB, exceljs 407KB, tiptap 593KB). Slow CI loop = devs branch later, conflicts later, ship later.</t>
  </si>
  <si>
    <t xml:space="preserve">vite.config.ts, .github/workflows/, src/sentry.ts</t>
  </si>
  <si>
    <t xml:space="preserve">Phase 3 — Major investments</t>
  </si>
  <si>
    <t xml:space="preserve">1) Move Sentry sourcemap upload to a post-deploy step with `sourcemaps.disable=true` during build, upload from CI artifact. 2) Verify chunkSizeWarningLimit=1000 isn't hiding regressions. 3) Run `vite build --profile` and check the longest-tail tasks. Target sub-3 min prod build.</t>
  </si>
  <si>
    <t xml:space="preserve">ARCH-3</t>
  </si>
  <si>
    <t xml:space="preserve">fetch-news legacy still wired in NewsSourcesManager</t>
  </si>
  <si>
    <t xml:space="preserve">Per CLAUDE.md, the canonical news pipeline cut over 2026-04-30 to wf-news-pipeline → news-ingestion DAG. But fetch-news edge function still exists for manual triggers from NewsSourcesManager.tsx (line 595-609 writes directly to news_articles, bypassing the staging/dedup pipeline). Two write paths = drift, duplicate articles slipping past dedup, audit gaps.</t>
  </si>
  <si>
    <t xml:space="preserve">src/components/admin/NewsSourcesManager.tsx (lines 595-609), supabase/functions/fetch-news/index.ts</t>
  </si>
  <si>
    <t xml:space="preserve">Replace the manual-trigger button with an enqueue-to-pipeline call (insert into scheduled_jobs queue with the source id), then delete fetch-news/index.ts and its frontend wiring. Add an integration test asserting only the canonical path writes to news_articles.</t>
  </si>
  <si>
    <t xml:space="preserve">DUP-1</t>
  </si>
  <si>
    <t xml:space="preserve">Duplicated logic</t>
  </si>
  <si>
    <t xml:space="preserve">CMS hook fragmentation — 10 useCMS* hooks with overlap</t>
  </si>
  <si>
    <t xml:space="preserve">src/hooks/ has useCMS, useCMSAudit, useCMSComments, useCMSEditor, useCMSFilters, useCMSMedia, useCMSRevisions, useCMSShortcuts, useCMSWorkflow, AND useUniversalCMS. useCMS and useUniversalCMS both duplicate Supabase + useAuth + toast plumbing for cms_content. Confusing for newcomers, indirection-tax for experienced devs.</t>
  </si>
  <si>
    <t xml:space="preserve">src/hooks/useCMS*.tsx, src/hooks/useUniversalCMS.tsx</t>
  </si>
  <si>
    <t xml:space="preserve">Pick one canonical: useUniversalCMS is the more recent API surface. Mark useCMS.tsx @deprecated, codemod its consumers, delete after one release. The specialized hooks (useCMSAudit, useCMSRevisions etc.) are fine — they're feature-scoped — but should be re-rooted on the canonical hook.</t>
  </si>
  <si>
    <t xml:space="preserve">LINT-1</t>
  </si>
  <si>
    <t xml:space="preserve">Type safety</t>
  </si>
  <si>
    <t xml:space="preserve">@typescript-eslint/no-explicit-any is `warn`, not `error`</t>
  </si>
  <si>
    <t xml:space="preserve">eslint.config.js sets no-explicit-any to `warn`. Total `: any` and `as any` count in src/ is small (~15) — meaning the cleanup is doable, but the rule lets new ones land silently. Combined with tsconfig `strict: false`, the type-safety promise is weaker than the codebase suggests.</t>
  </si>
  <si>
    <t xml:space="preserve">eslint.config.js, tsconfig.app.json</t>
  </si>
  <si>
    <t xml:space="preserve">1) Grep `: any` and `as any` in src/, replace each with the right type or `unknown`. 2) Flip the rule to `error`. 3) In a separate PR, flip tsconfig.app.json strict: true and fix the resulting errors (most will be useUnknownInCatchVariables and strictFunctionTypes — manageable).</t>
  </si>
  <si>
    <t xml:space="preserve">BUILD-2</t>
  </si>
  <si>
    <t xml:space="preserve">src/integrations/supabase/types.ts is 17,033 lines</t>
  </si>
  <si>
    <t xml:space="preserve">Auto-generated Supabase types file. Regenerated on schema changes (643 migrations = many regenerations). Slows tsc, slows IDE responsiveness, and any stray non-type import would pull a giant file into runtime. Already excluded from ESLint, but typecheck still pays the cost.</t>
  </si>
  <si>
    <t xml:space="preserve">src/integrations/supabase/types.ts (17,033 lines)</t>
  </si>
  <si>
    <t xml:space="preserve">1) Confirm all imports use `import type { ... }` (not bare `import`). 2) Consider supabase gen types --schema public --tables venues,events,... per domain to split into types/venues.ts, types/events.ts, etc., re-exported from a barrel. 3) Cache the file in CI based on migration hash so unchanged schemas skip regeneration.</t>
  </si>
  <si>
    <t xml:space="preserve">BUILD-3</t>
  </si>
  <si>
    <t xml:space="preserve">PipelineBuilder admin chunk is 651KB</t>
  </si>
  <si>
    <t xml:space="preserve">src/components/admin/pipeline-builder/PipelineBuilder.tsx is 1,357 lines and pulls @xyflow/react. dist/assets/js/PipelineBuilder-*.js = 651KB. Already lazy-chunked, but verify it never lands on a non-admin route's import graph (any accidental import in shared code would balloon the public bundle).</t>
  </si>
  <si>
    <t xml:space="preserve">src/components/admin/pipeline-builder/PipelineBuilder.tsx, vite.config.ts (manualChunks)</t>
  </si>
  <si>
    <t xml:space="preserve">1) Add a `vite-bundle-visualizer` step to CI that fails the build if PipelineBuilder.tsx is reachable from a non-/admin route. 2) Consider moving @xyflow/react into a 'flow' manualChunks branch alongside it so the worst-case first-paint cost on /admin/pipelines is one chunk, not two.</t>
  </si>
  <si>
    <t xml:space="preserve">DUP-2</t>
  </si>
  <si>
    <t xml:space="preserve">CORS headers inlined in ~37 of 48 edge functions</t>
  </si>
  <si>
    <t xml:space="preserve">supabase/functions/_shared/supabase-client.ts already exports getCorsHeaders(), but only 11 of 48 functions import it; the other 37 inline their own constant. When CORS policy needs to change (allowed origins, methods, headers), it's a 37-file find-and-replace and easy to miss one.</t>
  </si>
  <si>
    <t xml:space="preserve">supabase/functions/*/index.ts (37 inlining), supabase/functions/_shared/supabase-client.ts (canonical)</t>
  </si>
  <si>
    <t xml:space="preserve">ast-grep or codemod: replace `const corsHeaders = { ... }` with `import { getCorsHeaders } from '../_shared/supabase-client.ts'; const corsHeaders = getCorsHeaders(req);`. Mechanical. Add a lint rule (custom Deno linter or repo-level grep in CI) banning new inlined CORS blocks.</t>
  </si>
  <si>
    <t xml:space="preserve">ARCH-4</t>
  </si>
  <si>
    <t xml:space="preserve">Large components</t>
  </si>
  <si>
    <t xml:space="preserve">UserDirectory.tsx (1,504 lines) — split into list / filters / detail</t>
  </si>
  <si>
    <t xml:space="preserve">Single page handles directory grid, filters, search, profile preview, friend actions, location pinning, accessibility flags. 4 useEffect calls. Hard to test, hard to PR-review.</t>
  </si>
  <si>
    <t xml:space="preserve">src/pages/UserDirectory.tsx</t>
  </si>
  <si>
    <t xml:space="preserve">Extract: &lt;UserDirectoryFilters /&gt;, &lt;UserDirectoryGrid /&gt;, &lt;UserDirectoryProfileDrawer /&gt;, useUserDirectoryQuery hook. Target &lt;300 lines for the page itself.</t>
  </si>
  <si>
    <t xml:space="preserve">ARCH-5</t>
  </si>
  <si>
    <t xml:space="preserve">ContentListPanel.tsx (1,413 lines) — CMS table panel</t>
  </si>
  <si>
    <t xml:space="preserve">src/components/cms/ContentListPanel.tsx mixes table rendering, filters, selection, bulk actions, drag/drop, status pills, and Supabase fetching. Same overlap concern as the admin pages but inside CMS.</t>
  </si>
  <si>
    <t xml:space="preserve">src/components/cms/ContentListPanel.tsx</t>
  </si>
  <si>
    <t xml:space="preserve">Refactor onto useAdminTableQuery (already exists, 25%-used). Extract &lt;CMSTable /&gt;, &lt;CMSBulkActionsBar /&gt;, &lt;CMSFilterRow /&gt;. Reuse with admin list pages where possible — they have nearly the same shape.</t>
  </si>
  <si>
    <t xml:space="preserve">DUP-3</t>
  </si>
  <si>
    <t xml:space="preserve">Admin list pages — partial migration to useAdminTableQuery</t>
  </si>
  <si>
    <t xml:space="preserve">useAdminTableQuery + useAdminTableState already exist (good). But 24 Admin*.tsx pages (14,681 lines total) still each implement filters/sorting/pagination/CRUD boilerplate. AdminVenues (1103), AdminFeedback (1199), AdminEvents (912), AdminRedirects (962), AdminSubmissions (761) — all duplicate the same shape.</t>
  </si>
  <si>
    <t xml:space="preserve">src/pages/Admin*.tsx (24 files, 14,681 lines)</t>
  </si>
  <si>
    <t xml:space="preserve">Build &lt;AdminEntityTable entity='venues' columns={...} filters={...} actions={...} /&gt; on top of useAdminTableQuery. Most admin pages collapse to 60-150 lines of config. Migrate one page at a time; AdminTags (525) is a good smaller starting point. Long tail but each page closed pays back at every future column or filter add.</t>
  </si>
  <si>
    <t xml:space="preserve">LINT-2</t>
  </si>
  <si>
    <t xml:space="preserve">tsconfig.app.json sets "strict": false</t>
  </si>
  <si>
    <t xml:space="preserve">noImplicitAny and strictNullChecks are explicitly true, but `strict: false` means useUnknownInCatchVariables, strictFunctionTypes, strictBindCallApply, strictPropertyInitialization, alwaysStrict are all off. Catch-block errors typed as `any`, function variance not checked, class field init not enforced — these are the bugs that ship to prod.</t>
  </si>
  <si>
    <t xml:space="preserve">tsconfig.app.json (line 17)</t>
  </si>
  <si>
    <t xml:space="preserve">Flip to `strict: true`. Expect 50-200 errors on first run. Most are useUnknownInCatchVariables (typed catch params) and strictFunctionTypes (callback signatures). Fix in batches; each fix often closes a real latent bug. Run with `--noEmitOnError false` first, sort errors by file, fix highest-impact files first.</t>
  </si>
  <si>
    <t xml:space="preserve">DUP-4</t>
  </si>
  <si>
    <t xml:space="preserve">useEffect-based data fetching (393 useEffect vs 177 useQuery)</t>
  </si>
  <si>
    <t xml:space="preserve">21 of 107 pages use raw `supabase.from()` directly (often in useEffect), only 22 use useQuery. 393 useEffect calls vs 177 useQuery. Many useEffects do data fetching — that pattern races, has stale-closure bugs, no cache, no automatic retry/dedup. Detail pages have 4-7 useEffects each.</t>
  </si>
  <si>
    <t xml:space="preserve">src/pages/CityDetail.tsx, CountryDetail.tsx, VenueDetail.tsx, EventDetail.tsx, NewsDetail.tsx, plus ~15 more pages — see grep -rl 'useEffect.*supabase\.from' src/pages</t>
  </si>
  <si>
    <t xml:space="preserve">1) Establish convention: no `supabase.from()` outside hooks/. 2) For each useEffect that fetches, replace with a useQuery hook (use{Entity}{Detail|List}). 3) Add a custom ESLint rule banning supabase.from inside useEffect bodies. Pairs naturally with ARCH-1 (Detail page extraction).</t>
  </si>
  <si>
    <t xml:space="preserve">BUILD-4</t>
  </si>
  <si>
    <t xml:space="preserve">exceljs (917KB) and mammoth (489KB) pre-bundled</t>
  </si>
  <si>
    <t xml:space="preserve">exceljs is used for Excel exports (admin CSV/XLSX export buttons). mammoth is used for .docx import. Both are infrequent, on-demand actions but bundled in a shared chunk that loads at app start. ~1.4MB raw/~400KB gzipped that most users never need.</t>
  </si>
  <si>
    <t xml:space="preserve">package.json (deps), vite.config.ts (manualChunks: exceljs, mammoth), anywhere `import { ... } from 'exceljs'` appears statically</t>
  </si>
  <si>
    <t xml:space="preserve">Replace static imports with dynamic: `const ExcelJS = (await import('exceljs')).default;` inside the click handler. Same for mammoth. Add a loading spinner on the click. Vite will produce a separate on-demand chunk.</t>
  </si>
  <si>
    <t xml:space="preserve">ARCH-6</t>
  </si>
  <si>
    <t xml:space="preserve">App.tsx is 590 lines with 59 lazyRetry imports</t>
  </si>
  <si>
    <t xml:space="preserve">All routes, providers, error boundaries, layout shell, error buffer install, PWA wiring, theming — all in App.tsx. Single point of merge conflict, hard to test, hard to scan.</t>
  </si>
  <si>
    <t xml:space="preserve">src/App.tsx (590 lines, 59 lazyRetry calls)</t>
  </si>
  <si>
    <t xml:space="preserve">Extract src/routes.tsx (the lazyRetry imports + &lt;Routes&gt; tree), src/providers/AppProviders.tsx (the provider stack), keep App.tsx &lt;100 lines as the wiring root. Easier review, easier to add a new route without touching the providers file, and the providers can be wrapped in a test harness.</t>
  </si>
  <si>
    <t xml:space="preserve">LINT-3</t>
  </si>
  <si>
    <t xml:space="preserve">@typescript-eslint/no-unused-vars is "off" — drift via unused-imports plugin</t>
  </si>
  <si>
    <t xml:space="preserve">eslint.config.js disables the official rule and replaces it with unused-imports/no-unused-vars at warn. The plugin works but the duplicated config means rule drift is easy and there's no error-level enforcement.</t>
  </si>
  <si>
    <t xml:space="preserve">eslint.config.js (lines ~30-40)</t>
  </si>
  <si>
    <t xml:space="preserve">Remove the `'@typescript-eslint/no-unused-vars': 'off'` line and let unused-imports be the only config. Promote unused-imports/no-unused-vars from warn to error. The 5 @ts-ignore/@ts-expect-error in src/ should be reviewed at the same time.</t>
  </si>
  <si>
    <t xml:space="preserve">TEST-1</t>
  </si>
  <si>
    <t xml:space="preserve">Test debt</t>
  </si>
  <si>
    <t xml:space="preserve">e2e suite "not actively maintained" per CLAUDE.md</t>
  </si>
  <si>
    <t xml:space="preserve">21 Playwright specs in e2e/ covering a11y, admin, trips, groups, submit. playwright.config.ts checked in. But CLAUDE.md says 'not actively maintained'. If specs are stale they're worse than no specs — false confidence. Tests:source ratio overall is healthy at 27% (251 test files / 936 src files), so the regression is specifically e2e.</t>
  </si>
  <si>
    <t xml:space="preserve">e2e/, playwright.config.ts, package.json (test:e2e script)</t>
  </si>
  <si>
    <t xml:space="preserve">1) Triage: run the suite, mark each spec green/red/skip. 2) Delete or fix the red ones immediately. 3) Add e2e to a nightly CI workflow with Slack alerts on fail. 4) Update CLAUDE.md to reflect the actual state. Skipping is fine; lying-by-comment is not.</t>
  </si>
  <si>
    <t xml:space="preserve">BUILD-5</t>
  </si>
  <si>
    <t xml:space="preserve">--legacy-peer-deps required at install (date-fns v4 vs react-day-picker v8)</t>
  </si>
  <si>
    <t xml:space="preserve">package.json: date-fns ^4.1.0, react-day-picker ^9.14.0. CLAUDE.md notes --legacy-peer-deps is mandatory at root. Every CI run, every onboarding, every local install pays this risk: npm pulling resolution that no longer matches what production sees.</t>
  </si>
  <si>
    <t xml:space="preserve">package.json (date-fns, react-day-picker), .npmrc, CLAUDE.md</t>
  </si>
  <si>
    <t xml:space="preserve">react-day-picker v9.14 supports date-fns v4. The conflict is likely transitive — run `npm ls date-fns` to find the legacy v3 consumer. Either upgrade that package, override via package.json `overrides: { 'date-fns': '^4.1.0' }`, or swap react-day-picker for the v9 line that has full date-fns v4 support. Goal: delete --legacy-peer-deps from CLAUDE.md and CI.</t>
  </si>
  <si>
    <t xml:space="preserve">ARCH-7</t>
  </si>
  <si>
    <t xml:space="preserve">AdminFeedback.tsx (1,199 lines)</t>
  </si>
  <si>
    <t xml:space="preserve">Page handles feedback inbox, story drawer, kanban for API errors, redaction controls, story narrate triggers. FeedbackDetailDrawer (888 lines) and ApiErrorsKanban (603 lines) and StoryDetailDrawer (587 lines) live separately but the page itself is still huge.</t>
  </si>
  <si>
    <t xml:space="preserve">src/pages/AdminFeedback.tsx, src/components/admin/feedback/*</t>
  </si>
  <si>
    <t xml:space="preserve">Extract &lt;FeedbackInboxList /&gt;, &lt;FeedbackKanbanView /&gt;, &lt;FeedbackStoriesView /&gt; and let AdminFeedback.tsx be a router for the three modes. Pairs with the broader admin migration (DUP-3).</t>
  </si>
  <si>
    <t xml:space="preserve">LINT-4</t>
  </si>
  <si>
    <t xml:space="preserve">185 eslint-disable comments concentrated in 5 files</t>
  </si>
  <si>
    <t xml:space="preserve">CountryDetail (4), CityDetail (4), QueerVillageDetail (3), useSecureRoleManagement (3), useFeedbackAnalytics (3), useExploreMapData (3) lead the list. Most are react-hooks/exhaustive-deps. That rule exists for a reason — disables here often indicate stale-closure bugs.</t>
  </si>
  <si>
    <t xml:space="preserve">See `grep -rl 'eslint-disable' src --include='*.tsx'`</t>
  </si>
  <si>
    <t xml:space="preserve">For each file, audit the disabled rule. exhaustive-deps disables are usually a sign that the effect should be useEffectEvent, useCallback, or — more often — should be a useQuery (see DUP-4). Bug-find rate per fix is high.</t>
  </si>
  <si>
    <t xml:space="preserve">ARCH-8</t>
  </si>
  <si>
    <t xml:space="preserve">282 hooks (3× growth in 2 months)</t>
  </si>
  <si>
    <t xml:space="preserve">March 2026 baseline: 95 hooks. Today: 282. Growth without consolidation. Many are thin Supabase wrappers (useHotels, useFestivals, useVideos…). simplification-notes.md from March recommended keeping them as-is for code-splitting reasons — fair, but at 3× the count the reason starts to invert (more hooks = more places to bug-fix the same query pattern).</t>
  </si>
  <si>
    <t xml:space="preserve">src/hooks/ (282 files, 33,409 lines)</t>
  </si>
  <si>
    <t xml:space="preserve">Quarterly hook hygiene pass: list all hooks &lt;30 lines and &lt;3 consumers, and either inline or merge with a sibling. Establish a naming convention (useEntityList vs useEntityDetail vs useEntityMutation) and an ADR for when to create a new hook vs colocate.</t>
  </si>
  <si>
    <t xml:space="preserve">ARCH-9</t>
  </si>
  <si>
    <t xml:space="preserve">MediaLibrary.tsx (1,654 lines)</t>
  </si>
  <si>
    <t xml:space="preserve">src/components/cms/MediaLibrary.tsx — single component handles upload, grid, preview, search, folders, R2/Storage routing, alt text editor.</t>
  </si>
  <si>
    <t xml:space="preserve">src/components/cms/MediaLibrary.tsx</t>
  </si>
  <si>
    <t xml:space="preserve">&lt;MediaLibrary&gt; shell + &lt;MediaUploader&gt;, &lt;MediaGrid&gt;, &lt;MediaPreviewDrawer&gt;, &lt;MediaFolderTree&gt;. Hooks: useMediaUpload, useMediaList. Probably the heaviest single refactor on this list — touch carefully, ship behind a flag, regress-test in admin.</t>
  </si>
  <si>
    <t xml:space="preserve">ARCH-10</t>
  </si>
  <si>
    <t xml:space="preserve">PipelineBuilder.tsx (1,357 lines)</t>
  </si>
  <si>
    <t xml:space="preserve">Visual pipeline editor (xyflow). Node palette, graph canvas, node config drawer, save/publish, version diff — one file.</t>
  </si>
  <si>
    <t xml:space="preserve">src/components/admin/pipeline-builder/PipelineBuilder.tsx</t>
  </si>
  <si>
    <t xml:space="preserve">&lt;PipelineBuilder&gt; wrapper + &lt;PipelineCanvas&gt;, &lt;PipelineNodePalette&gt;, &lt;PipelineNodeInspector&gt;, &lt;PipelineToolbar&gt;. The canvas itself can stay xyflow-specific; the palette and inspector are reusable.</t>
  </si>
  <si>
    <t xml:space="preserve">ARCH-11</t>
  </si>
  <si>
    <t xml:space="preserve">PatternLibrary/patterns.tsx (2,021 lines)</t>
  </si>
  <si>
    <t xml:space="preserve">Storybook-style demo file. Big and unwieldy but low-risk — internal docs.</t>
  </si>
  <si>
    <t xml:space="preserve">src/pages/PatternLibrary/patterns.tsx</t>
  </si>
  <si>
    <t xml:space="preserve">Split per-pattern file in src/pages/PatternLibrary/patterns/{button,card,form,…}.tsx with an index that lists them. Easier to add new patterns, easier to delete dead ones.</t>
  </si>
  <si>
    <t xml:space="preserve">DB-1</t>
  </si>
  <si>
    <t xml:space="preserve">Database</t>
  </si>
  <si>
    <t xml:space="preserve">643 migrations (187 marked _legacy) — squash into a baseline</t>
  </si>
  <si>
    <t xml:space="preserve">Migrations dir grew from ~435 (CLAUDE.md) to 643 in &lt;2 months. 187 files have the `_legacy` suffix. Local supabase up takes longer at every step; new contributor onboarding pays the full cost. Migration history is a write-once log of decisions — prune.</t>
  </si>
  <si>
    <t xml:space="preserve">supabase/migrations/ (643 files)</t>
  </si>
  <si>
    <t xml:space="preserve">Backlog</t>
  </si>
  <si>
    <t xml:space="preserve">Rare and risky: pg_dump --schema-only the current state, write a single baseline migration `20260501000000_baseline.sql`, archive the old ones to supabase/migrations/_archive/. Coordinate with the team — this rewrites history. Backlog item; only do once the team is comfortable.</t>
  </si>
  <si>
    <t xml:space="preserve">Tech debt by category</t>
  </si>
  <si>
    <t xml:space="preserve">Items</t>
  </si>
  <si>
    <t xml:space="preserve">Avg Impact</t>
  </si>
  <si>
    <t xml:space="preserve">Avg Risk</t>
  </si>
  <si>
    <t xml:space="preserve">Avg Effort</t>
  </si>
  <si>
    <t xml:space="preserve">Top item</t>
  </si>
  <si>
    <t xml:space="preserve">DOC-1 · CLAUDE.md is stale on counts, paths, workers, dead code</t>
  </si>
  <si>
    <t xml:space="preserve">ARCH-2 · contentTypeRegistry.ts is a 1,430-line single file</t>
  </si>
  <si>
    <t xml:space="preserve">BUILD-1 · Production build ~10 min — investigate sourcemap upload + chunk count</t>
  </si>
  <si>
    <t xml:space="preserve">DUP-1 · CMS hook fragmentation — 10 useCMS* hooks with overlap</t>
  </si>
  <si>
    <t xml:space="preserve">LINT-1 · @typescript-eslint/no-explicit-any is `warn`, not `error`</t>
  </si>
  <si>
    <t xml:space="preserve">ARCH-4 · UserDirectory.tsx (1,504 lines) — split into list / filters / detail</t>
  </si>
  <si>
    <t xml:space="preserve">TEST-1 · e2e suite "not actively maintained" per CLAUDE.md</t>
  </si>
  <si>
    <t xml:space="preserve">DB-1 · 643 migrations (187 marked _legacy) — squash into a baseline</t>
  </si>
  <si>
    <t xml:space="preserve">Total</t>
  </si>
  <si>
    <t xml:space="preserve">Phased remediation plan</t>
  </si>
  <si>
    <t xml:space="preserve">Each phase is sized to ship alongside feature work. Phase 1 fits inside regular sprints; Phase 2 wants ~20% capacity reserved or dedicated weeks; Phase 3 is project-sized and needs a design doc.</t>
  </si>
  <si>
    <t xml:space="preserve">Phase 1 — Quick wins  ·  12 items  ·  total effort score 25</t>
  </si>
  <si>
    <t xml:space="preserve">Phase 2 — Strategic refactors  ·  13 items  ·  total effort score 45</t>
  </si>
  <si>
    <t xml:space="preserve">Phase 3 — Major investments  ·  1 items  ·  total effort score 3</t>
  </si>
  <si>
    <t xml:space="preserve">Backlog  ·  1 items  ·  total effort score 5</t>
  </si>
  <si>
    <t xml:space="preserve">Methodology &amp; source data</t>
  </si>
  <si>
    <t xml:space="preserve">How items were identified</t>
  </si>
  <si>
    <t xml:space="preserve">1. File-size scan: find . -name '*.tsx' -exec wc -l (top 30, with focus on &gt;500 lines).</t>
  </si>
  <si>
    <t xml:space="preserve">2. Pattern duplication grep: `useEffect(`, `supabase.from(`, `corsHeaders`, `useQuery`, `as any`, `eslint-disable`.</t>
  </si>
  <si>
    <t xml:space="preserve">3. Compared CLAUDE.md claims to repo reality (file counts, paths, workers, drift indicators).</t>
  </si>
  <si>
    <t xml:space="preserve">4. Cross-checked against docs/refactor-baseline.md (2026-03) to see what's grown or improved.</t>
  </si>
  <si>
    <t xml:space="preserve">5. Bundle artifacts inspected: dist/assets/js sizes (last build 2026-04-17).</t>
  </si>
  <si>
    <t xml:space="preserve">Source-data signals</t>
  </si>
  <si>
    <t xml:space="preserve">Frontend src files</t>
  </si>
  <si>
    <t xml:space="preserve">1,186 (.ts + .tsx) — was 599 in 2026-03, 2× growth.</t>
  </si>
  <si>
    <t xml:space="preserve">Pages</t>
  </si>
  <si>
    <t xml:space="preserve">107 (.tsx in src/pages).</t>
  </si>
  <si>
    <t xml:space="preserve">Admin pages</t>
  </si>
  <si>
    <t xml:space="preserve">24 (Admin*.tsx). Total 14,681 lines.</t>
  </si>
  <si>
    <t xml:space="preserve">Hooks</t>
  </si>
  <si>
    <t xml:space="preserve">282 (was 95 in 2026-03, 3× growth).</t>
  </si>
  <si>
    <t xml:space="preserve">Components/admin</t>
  </si>
  <si>
    <t xml:space="preserve">181 files, 48,638 lines.</t>
  </si>
  <si>
    <t xml:space="preserve">Components/cms</t>
  </si>
  <si>
    <t xml:space="preserve">56 files, 18,898 lines.</t>
  </si>
  <si>
    <t xml:space="preserve">Edge functions</t>
  </si>
  <si>
    <t xml:space="preserve">202 (CLAUDE.md says 118 — drift).</t>
  </si>
  <si>
    <t xml:space="preserve">Migrations</t>
  </si>
  <si>
    <t xml:space="preserve">643 (CLAUDE.md says 435+ — drift). 187 with `_legacy` suffix.</t>
  </si>
  <si>
    <t xml:space="preserve">Workers</t>
  </si>
  <si>
    <t xml:space="preserve">4 — ingest, search-proxy, snapshot-archiver, submit. CLAUDE.md says 2.</t>
  </si>
  <si>
    <t xml:space="preserve">Frontend deps</t>
  </si>
  <si>
    <t xml:space="preserve">100 (70 prod, 30 dev).</t>
  </si>
  <si>
    <t xml:space="preserve">Tests</t>
  </si>
  <si>
    <t xml:space="preserve">251 in src/__tests__/, 21 e2e specs (e2e marked unmaintained).</t>
  </si>
  <si>
    <t xml:space="preserve">Test:source ratio</t>
  </si>
  <si>
    <t xml:space="preserve">26.8%.</t>
  </si>
  <si>
    <t xml:space="preserve">Files &gt;500 lines</t>
  </si>
  <si>
    <t xml:space="preserve">103.</t>
  </si>
  <si>
    <t xml:space="preserve">Files &gt;1000 lines</t>
  </si>
  <si>
    <t xml:space="preserve">16.</t>
  </si>
  <si>
    <t xml:space="preserve">`: any` and `as any`</t>
  </si>
  <si>
    <t xml:space="preserve">~15 in src/ (low — but `no-explicit-any` is `warn` not `error`).</t>
  </si>
  <si>
    <t xml:space="preserve">eslint-disable comments</t>
  </si>
  <si>
    <t xml:space="preserve">185 across src/ (concentrated in 5-6 files).</t>
  </si>
  <si>
    <t xml:space="preserve">@ts-ignore / @ts-expect-error</t>
  </si>
  <si>
    <t xml:space="preserve">5 in src/.</t>
  </si>
  <si>
    <t xml:space="preserve">useEffect calls</t>
  </si>
  <si>
    <t xml:space="preserve">393 across src/.</t>
  </si>
  <si>
    <t xml:space="preserve">useQuery calls</t>
  </si>
  <si>
    <t xml:space="preserve">177.</t>
  </si>
  <si>
    <t xml:space="preserve">useMutation calls</t>
  </si>
  <si>
    <t xml:space="preserve">176.</t>
  </si>
  <si>
    <t xml:space="preserve">Pages using useQuery</t>
  </si>
  <si>
    <t xml:space="preserve">22 of 107.</t>
  </si>
  <si>
    <t xml:space="preserve">Pages using raw supabase.from</t>
  </si>
  <si>
    <t xml:space="preserve">21 of 107.</t>
  </si>
  <si>
    <t xml:space="preserve">supabase.from calls (total)</t>
  </si>
  <si>
    <t xml:space="preserve">159.</t>
  </si>
  <si>
    <t xml:space="preserve">try/catch blocks</t>
  </si>
  <si>
    <t xml:space="preserve">692.</t>
  </si>
  <si>
    <t xml:space="preserve">CORS headers inlined in edge functions</t>
  </si>
  <si>
    <t xml:space="preserve">37 of 48 (despite getCorsHeaders existing in _shared/supabase-client.ts).</t>
  </si>
  <si>
    <t xml:space="preserve">Last bundle (dist/, 2026-04-17)</t>
  </si>
  <si>
    <t xml:space="preserve">13 MB total, top chunks: maplibre 1.1MB, exceljs 917KB, PipelineBuilder 651KB, tiptap 593KB, mammoth 489KB.</t>
  </si>
  <si>
    <t xml:space="preserve">Production build time</t>
  </si>
  <si>
    <t xml:space="preserve">~9m 48s per docs/refactor-baseline.md (2026-03-03).</t>
  </si>
  <si>
    <t xml:space="preserve">Limitations</t>
  </si>
  <si>
    <t xml:space="preserve">• Static analysis only — did not run lint, typecheck, or build during the audit.</t>
  </si>
  <si>
    <t xml:space="preserve">• Effort estimates assume 1 senior frontend engineer; multiply by 1.5 for less-familiar engineers.</t>
  </si>
  <si>
    <t xml:space="preserve">• Did not measure runtime performance (e.g. Lighthouse, real-user metrics).</t>
  </si>
  <si>
    <t xml:space="preserve">• Did not audit security debt (RLS, secrets handling) — out of scope for code-quality audit, but a separate audit is recommended given the rapid migration cadence.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</si>
</sst>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0F1115"/>
      <name val="Arial"/>
      <family val="0"/>
      <charset val="1"/>
    </font>
    <font>
      <sz val="10"/>
      <color rgb="FF606060"/>
      <name val="Arial"/>
      <family val="0"/>
      <charset val="1"/>
    </font>
    <font>
      <sz val="10"/>
      <color rgb="FF0F1115"/>
      <name val="Arial"/>
      <family val="0"/>
      <charset val="1"/>
    </font>
    <font>
      <b val="true"/>
      <sz val="12"/>
      <color rgb="FF0F1115"/>
      <name val="Arial"/>
      <family val="0"/>
      <charset val="1"/>
    </font>
    <font>
      <b val="true"/>
      <sz val="10"/>
      <color rgb="FFFFFFFF"/>
      <name val="Arial"/>
      <family val="0"/>
      <charset val="1"/>
    </font>
    <font>
      <sz val="9"/>
      <color rgb="FF0F1115"/>
      <name val="Menlo"/>
      <family val="0"/>
      <charset val="1"/>
    </font>
    <font>
      <b val="true"/>
      <sz val="10"/>
      <color rgb="FF0F1115"/>
      <name val="Arial"/>
      <family val="0"/>
      <charset val="1"/>
    </font>
    <font>
      <b val="true"/>
      <sz val="10"/>
      <name val="Arial"/>
      <family val="0"/>
      <charset val="1"/>
    </font>
  </fonts>
  <fills count="5">
    <fill>
      <patternFill patternType="none"/>
    </fill>
    <fill>
      <patternFill patternType="gray125"/>
    </fill>
    <fill>
      <patternFill patternType="solid">
        <fgColor rgb="FFE9E9EE"/>
        <bgColor rgb="FFF7F7F8"/>
      </patternFill>
    </fill>
    <fill>
      <patternFill patternType="solid">
        <fgColor rgb="FF0F1115"/>
        <bgColor rgb="FF000000"/>
      </patternFill>
    </fill>
    <fill>
      <patternFill patternType="solid">
        <fgColor rgb="FFF7F7F8"/>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0F1115"/>
          <bgColor rgb="FF000000"/>
        </patternFill>
      </fill>
    </dxf>
    <dxf>
      <fill>
        <patternFill patternType="solid">
          <fgColor rgb="FFF7F7F8"/>
          <bgColor rgb="FF000000"/>
        </patternFill>
      </fill>
    </dxf>
    <dxf>
      <fill>
        <patternFill patternType="solid">
          <bgColor rgb="FF000000"/>
        </patternFill>
      </fill>
    </dxf>
    <dxf>
      <fill>
        <patternFill patternType="solid">
          <fgColor rgb="FFFFFFFF"/>
          <bgColor rgb="FF000000"/>
        </patternFill>
      </fill>
    </dxf>
    <dxf>
      <fill>
        <patternFill patternType="solid">
          <fgColor rgb="FFEF6C00"/>
          <bgColor rgb="FF000000"/>
        </patternFill>
      </fill>
    </dxf>
    <dxf>
      <fill>
        <patternFill patternType="solid">
          <fgColor rgb="FFF2801E"/>
          <bgColor rgb="FF000000"/>
        </patternFill>
      </fill>
    </dxf>
    <dxf>
      <fill>
        <patternFill patternType="solid">
          <fgColor rgb="FFF3892D"/>
          <bgColor rgb="FF000000"/>
        </patternFill>
      </fill>
    </dxf>
    <dxf>
      <fill>
        <patternFill patternType="solid">
          <fgColor rgb="FFF7A659"/>
          <bgColor rgb="FF000000"/>
        </patternFill>
      </fill>
    </dxf>
    <dxf>
      <fill>
        <patternFill patternType="solid">
          <fgColor rgb="FFFBC386"/>
          <bgColor rgb="FF000000"/>
        </patternFill>
      </fill>
    </dxf>
    <dxf>
      <fill>
        <patternFill patternType="solid">
          <fgColor rgb="FFFDCD95"/>
          <bgColor rgb="FF000000"/>
        </patternFill>
      </fill>
    </dxf>
    <dxf>
      <fill>
        <patternFill patternType="solid">
          <fgColor rgb="FFFFE0B2"/>
          <bgColor rgb="FF000000"/>
        </patternFill>
      </fill>
    </dxf>
    <dxf>
      <fill>
        <patternFill patternType="solid">
          <fgColor rgb="FFFFE5BE"/>
          <bgColor rgb="FF000000"/>
        </patternFill>
      </fill>
    </dxf>
    <dxf>
      <fill>
        <patternFill patternType="solid">
          <fgColor rgb="FFFFE8C4"/>
          <bgColor rgb="FF000000"/>
        </patternFill>
      </fill>
    </dxf>
    <dxf>
      <fill>
        <patternFill patternType="solid">
          <fgColor rgb="FFFFEACA"/>
          <bgColor rgb="FF000000"/>
        </patternFill>
      </fill>
    </dxf>
    <dxf>
      <fill>
        <patternFill patternType="solid">
          <fgColor rgb="FFFFEF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7F8"/>
      <rgbColor rgb="FFE9E9EE"/>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06060"/>
      <rgbColor rgb="FF969696"/>
      <rgbColor rgb="FF003366"/>
      <rgbColor rgb="FF339966"/>
      <rgbColor rgb="FF0F1115"/>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8"/>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8" hidden="false" customHeight="true" outlineLevel="0" collapsed="false">
      <c r="A3" s="3"/>
      <c r="B3" s="4"/>
      <c r="C3" s="4"/>
      <c r="D3" s="4"/>
      <c r="E3" s="4"/>
      <c r="F3" s="4"/>
    </row>
    <row r="4" customFormat="false" ht="18" hidden="false" customHeight="true" outlineLevel="0" collapsed="false">
      <c r="A4" s="5" t="s">
        <v>2</v>
      </c>
      <c r="B4" s="5"/>
      <c r="C4" s="5"/>
      <c r="D4" s="5"/>
      <c r="E4" s="5"/>
      <c r="F4" s="5"/>
    </row>
    <row r="5" customFormat="false" ht="18" hidden="false" customHeight="true" outlineLevel="0" collapsed="false">
      <c r="A5" s="3"/>
      <c r="B5" s="4"/>
      <c r="C5" s="4"/>
      <c r="D5" s="4"/>
      <c r="E5" s="4"/>
      <c r="F5" s="4"/>
    </row>
    <row r="6" customFormat="false" ht="18" hidden="false" customHeight="true" outlineLevel="0" collapsed="false">
      <c r="A6" s="3" t="s">
        <v>3</v>
      </c>
      <c r="B6" s="4" t="s">
        <v>4</v>
      </c>
      <c r="C6" s="4"/>
      <c r="D6" s="4"/>
      <c r="E6" s="4"/>
      <c r="F6" s="4"/>
    </row>
    <row r="7" customFormat="false" ht="18" hidden="false" customHeight="true" outlineLevel="0" collapsed="false">
      <c r="A7" s="3" t="s">
        <v>5</v>
      </c>
      <c r="B7" s="4" t="s">
        <v>6</v>
      </c>
      <c r="C7" s="4"/>
      <c r="D7" s="4"/>
      <c r="E7" s="4"/>
      <c r="F7" s="4"/>
    </row>
    <row r="8" customFormat="false" ht="18" hidden="false" customHeight="true" outlineLevel="0" collapsed="false">
      <c r="A8" s="3" t="s">
        <v>7</v>
      </c>
      <c r="B8" s="4" t="s">
        <v>8</v>
      </c>
      <c r="C8" s="4"/>
      <c r="D8" s="4"/>
      <c r="E8" s="4"/>
      <c r="F8" s="4"/>
    </row>
    <row r="9" customFormat="false" ht="18" hidden="false" customHeight="true" outlineLevel="0" collapsed="false">
      <c r="A9" s="3" t="s">
        <v>9</v>
      </c>
      <c r="B9" s="4" t="s">
        <v>10</v>
      </c>
      <c r="C9" s="4"/>
      <c r="D9" s="4"/>
      <c r="E9" s="4"/>
      <c r="F9" s="4"/>
    </row>
    <row r="10" customFormat="false" ht="18" hidden="false" customHeight="true" outlineLevel="0" collapsed="false">
      <c r="A10" s="3" t="s">
        <v>11</v>
      </c>
      <c r="B10" s="4" t="s">
        <v>12</v>
      </c>
      <c r="C10" s="4"/>
      <c r="D10" s="4"/>
      <c r="E10" s="4"/>
      <c r="F10" s="4"/>
    </row>
    <row r="11" customFormat="false" ht="18" hidden="false" customHeight="true" outlineLevel="0" collapsed="false">
      <c r="A11" s="3" t="s">
        <v>13</v>
      </c>
      <c r="B11" s="4" t="s">
        <v>14</v>
      </c>
      <c r="C11" s="4"/>
      <c r="D11" s="4"/>
      <c r="E11" s="4"/>
      <c r="F11" s="4"/>
    </row>
    <row r="12" customFormat="false" ht="18" hidden="false" customHeight="true" outlineLevel="0" collapsed="false">
      <c r="A12" s="3"/>
      <c r="B12" s="4"/>
      <c r="C12" s="4"/>
      <c r="D12" s="4"/>
      <c r="E12" s="4"/>
      <c r="F12" s="4"/>
    </row>
    <row r="13" customFormat="false" ht="18" hidden="false" customHeight="true" outlineLevel="0" collapsed="false">
      <c r="A13" s="5" t="s">
        <v>15</v>
      </c>
      <c r="B13" s="5"/>
      <c r="C13" s="5"/>
      <c r="D13" s="5"/>
      <c r="E13" s="5"/>
      <c r="F13" s="5"/>
    </row>
    <row r="14" customFormat="false" ht="18" hidden="false" customHeight="true" outlineLevel="0" collapsed="false">
      <c r="A14" s="3" t="s">
        <v>16</v>
      </c>
      <c r="B14" s="4" t="s">
        <v>17</v>
      </c>
      <c r="C14" s="4"/>
      <c r="D14" s="4"/>
      <c r="E14" s="4"/>
      <c r="F14" s="4"/>
    </row>
    <row r="15" customFormat="false" ht="18" hidden="false" customHeight="true" outlineLevel="0" collapsed="false">
      <c r="A15" s="3" t="s">
        <v>18</v>
      </c>
      <c r="B15" s="4" t="s">
        <v>19</v>
      </c>
      <c r="C15" s="4"/>
      <c r="D15" s="4"/>
      <c r="E15" s="4"/>
      <c r="F15" s="4"/>
    </row>
    <row r="16" customFormat="false" ht="18" hidden="false" customHeight="true" outlineLevel="0" collapsed="false">
      <c r="A16" s="3" t="s">
        <v>20</v>
      </c>
      <c r="B16" s="4" t="s">
        <v>21</v>
      </c>
      <c r="C16" s="4"/>
      <c r="D16" s="4"/>
      <c r="E16" s="4"/>
      <c r="F16" s="4"/>
    </row>
    <row r="17" customFormat="false" ht="18" hidden="false" customHeight="true" outlineLevel="0" collapsed="false">
      <c r="A17" s="3" t="s">
        <v>22</v>
      </c>
      <c r="B17" s="4" t="s">
        <v>23</v>
      </c>
      <c r="C17" s="4"/>
      <c r="D17" s="4"/>
      <c r="E17" s="4"/>
      <c r="F17" s="4"/>
    </row>
    <row r="18" customFormat="false" ht="18" hidden="false" customHeight="true" outlineLevel="0" collapsed="false">
      <c r="A18" s="3"/>
      <c r="B18" s="4"/>
      <c r="C18" s="4"/>
      <c r="D18" s="4"/>
      <c r="E18" s="4"/>
      <c r="F18" s="4"/>
    </row>
    <row r="19" customFormat="false" ht="18" hidden="false" customHeight="true" outlineLevel="0" collapsed="false">
      <c r="A19" s="5" t="s">
        <v>24</v>
      </c>
      <c r="B19" s="5"/>
      <c r="C19" s="5"/>
      <c r="D19" s="5"/>
      <c r="E19" s="5"/>
      <c r="F19" s="5"/>
    </row>
    <row r="20" customFormat="false" ht="18" hidden="false" customHeight="true" outlineLevel="0" collapsed="false">
      <c r="A20" s="3"/>
      <c r="B20" s="4"/>
      <c r="C20" s="4"/>
      <c r="D20" s="4"/>
      <c r="E20" s="4"/>
      <c r="F20" s="4"/>
    </row>
    <row r="21" customFormat="false" ht="18" hidden="false" customHeight="true" outlineLevel="0" collapsed="false">
      <c r="A21" s="3" t="s">
        <v>25</v>
      </c>
      <c r="B21" s="4" t="s">
        <v>26</v>
      </c>
      <c r="C21" s="4"/>
      <c r="D21" s="4"/>
      <c r="E21" s="4"/>
      <c r="F21" s="4"/>
    </row>
    <row r="22" customFormat="false" ht="18" hidden="false" customHeight="true" outlineLevel="0" collapsed="false">
      <c r="A22" s="3" t="s">
        <v>27</v>
      </c>
      <c r="B22" s="4" t="s">
        <v>28</v>
      </c>
      <c r="C22" s="4"/>
      <c r="D22" s="4"/>
      <c r="E22" s="4"/>
      <c r="F22" s="4"/>
    </row>
    <row r="23" customFormat="false" ht="18" hidden="false" customHeight="true" outlineLevel="0" collapsed="false">
      <c r="A23" s="3" t="s">
        <v>29</v>
      </c>
      <c r="B23" s="4" t="s">
        <v>30</v>
      </c>
      <c r="C23" s="4"/>
      <c r="D23" s="4"/>
      <c r="E23" s="4"/>
      <c r="F23" s="4"/>
    </row>
    <row r="24" customFormat="false" ht="18" hidden="false" customHeight="true" outlineLevel="0" collapsed="false">
      <c r="A24" s="3"/>
      <c r="B24" s="4"/>
      <c r="C24" s="4"/>
      <c r="D24" s="4"/>
      <c r="E24" s="4"/>
      <c r="F24" s="4"/>
    </row>
    <row r="25" customFormat="false" ht="18" hidden="false" customHeight="true" outlineLevel="0" collapsed="false">
      <c r="A25" s="5" t="s">
        <v>31</v>
      </c>
      <c r="B25" s="5"/>
      <c r="C25" s="5"/>
      <c r="D25" s="5"/>
      <c r="E25" s="5"/>
      <c r="F25" s="5"/>
    </row>
    <row r="26" customFormat="false" ht="18" hidden="false" customHeight="true" outlineLevel="0" collapsed="false">
      <c r="A26" s="3"/>
      <c r="B26" s="4"/>
      <c r="C26" s="4"/>
      <c r="D26" s="4"/>
      <c r="E26" s="4"/>
      <c r="F26" s="4"/>
    </row>
    <row r="27" customFormat="false" ht="18" hidden="false" customHeight="true" outlineLevel="0" collapsed="false">
      <c r="A27" s="3" t="s">
        <v>32</v>
      </c>
      <c r="B27" s="4" t="s">
        <v>33</v>
      </c>
      <c r="C27" s="4"/>
      <c r="D27" s="4"/>
      <c r="E27" s="4"/>
      <c r="F27" s="4"/>
    </row>
    <row r="28" customFormat="false" ht="18" hidden="false" customHeight="true" outlineLevel="0" collapsed="false">
      <c r="A28" s="3" t="s">
        <v>34</v>
      </c>
      <c r="B28" s="4" t="s">
        <v>35</v>
      </c>
      <c r="C28" s="4"/>
      <c r="D28" s="4"/>
      <c r="E28" s="4"/>
      <c r="F28" s="4"/>
    </row>
    <row r="29" customFormat="false" ht="18" hidden="false" customHeight="true" outlineLevel="0" collapsed="false">
      <c r="A29" s="3" t="s">
        <v>36</v>
      </c>
      <c r="B29" s="4" t="s">
        <v>37</v>
      </c>
      <c r="C29" s="4"/>
      <c r="D29" s="4"/>
      <c r="E29" s="4"/>
      <c r="F29" s="4"/>
    </row>
    <row r="30" customFormat="false" ht="18" hidden="false" customHeight="true" outlineLevel="0" collapsed="false">
      <c r="A30" s="3" t="s">
        <v>38</v>
      </c>
      <c r="B30" s="4" t="s">
        <v>39</v>
      </c>
      <c r="C30" s="4"/>
      <c r="D30" s="4"/>
      <c r="E30" s="4"/>
      <c r="F30" s="4"/>
    </row>
  </sheetData>
  <mergeCells count="30">
    <mergeCell ref="A1:F1"/>
    <mergeCell ref="A2:F2"/>
    <mergeCell ref="B3:F3"/>
    <mergeCell ref="A4:F4"/>
    <mergeCell ref="B5:F5"/>
    <mergeCell ref="B6:F6"/>
    <mergeCell ref="B7:F7"/>
    <mergeCell ref="B8:F8"/>
    <mergeCell ref="B9:F9"/>
    <mergeCell ref="B10:F10"/>
    <mergeCell ref="B11:F11"/>
    <mergeCell ref="B12:F12"/>
    <mergeCell ref="A13:F13"/>
    <mergeCell ref="B14:F14"/>
    <mergeCell ref="B15:F15"/>
    <mergeCell ref="B16:F16"/>
    <mergeCell ref="B17:F17"/>
    <mergeCell ref="B18:F18"/>
    <mergeCell ref="A19:F19"/>
    <mergeCell ref="B20:F20"/>
    <mergeCell ref="B21:F21"/>
    <mergeCell ref="B22:F22"/>
    <mergeCell ref="B23:F23"/>
    <mergeCell ref="B24:F24"/>
    <mergeCell ref="A25:F25"/>
    <mergeCell ref="B26:F26"/>
    <mergeCell ref="B27:F27"/>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0"/>
    <col collapsed="false" customWidth="true" hidden="false" outlineLevel="0" max="4" min="4" style="0" width="60"/>
    <col collapsed="false" customWidth="true" hidden="false" outlineLevel="0" max="5" min="5" style="0" width="38"/>
    <col collapsed="false" customWidth="true" hidden="false" outlineLevel="0" max="8" min="6" style="0" width="9"/>
    <col collapsed="false" customWidth="true" hidden="false" outlineLevel="0" max="9" min="9" style="0" width="10"/>
    <col collapsed="false" customWidth="true" hidden="false" outlineLevel="0" max="10" min="10" style="0" width="24"/>
    <col collapsed="false" customWidth="true" hidden="false" outlineLevel="0" max="11" min="11" style="0" width="60"/>
  </cols>
  <sheetData>
    <row r="1" customFormat="false" ht="15" hidden="false" customHeight="false" outlineLevel="0" collapsed="false">
      <c r="A1" s="6" t="s">
        <v>40</v>
      </c>
      <c r="B1" s="6" t="s">
        <v>41</v>
      </c>
      <c r="C1" s="6" t="s">
        <v>42</v>
      </c>
      <c r="D1" s="6" t="s">
        <v>43</v>
      </c>
      <c r="E1" s="6" t="s">
        <v>44</v>
      </c>
      <c r="F1" s="6" t="s">
        <v>45</v>
      </c>
      <c r="G1" s="6" t="s">
        <v>46</v>
      </c>
      <c r="H1" s="6" t="s">
        <v>47</v>
      </c>
      <c r="I1" s="6" t="s">
        <v>48</v>
      </c>
      <c r="J1" s="6" t="s">
        <v>13</v>
      </c>
      <c r="K1" s="6" t="s">
        <v>49</v>
      </c>
    </row>
    <row r="2" customFormat="false" ht="109.5" hidden="false" customHeight="true" outlineLevel="0" collapsed="false">
      <c r="A2" s="7" t="s">
        <v>50</v>
      </c>
      <c r="B2" s="8" t="s">
        <v>51</v>
      </c>
      <c r="C2" s="8" t="s">
        <v>52</v>
      </c>
      <c r="D2" s="8" t="s">
        <v>53</v>
      </c>
      <c r="E2" s="7" t="s">
        <v>54</v>
      </c>
      <c r="F2" s="9" t="n">
        <v>3</v>
      </c>
      <c r="G2" s="9" t="n">
        <v>3</v>
      </c>
      <c r="H2" s="9" t="n">
        <v>1</v>
      </c>
      <c r="I2" s="10" t="n">
        <f aca="false">(F2+G2)*(6-H2)</f>
        <v>30</v>
      </c>
      <c r="J2" s="8" t="s">
        <v>55</v>
      </c>
      <c r="K2" s="8" t="s">
        <v>56</v>
      </c>
    </row>
    <row r="3" customFormat="false" ht="109.5" hidden="false" customHeight="true" outlineLevel="0" collapsed="false">
      <c r="A3" s="11" t="s">
        <v>57</v>
      </c>
      <c r="B3" s="12" t="s">
        <v>58</v>
      </c>
      <c r="C3" s="12" t="s">
        <v>59</v>
      </c>
      <c r="D3" s="12" t="s">
        <v>60</v>
      </c>
      <c r="E3" s="11" t="s">
        <v>61</v>
      </c>
      <c r="F3" s="13" t="n">
        <v>4</v>
      </c>
      <c r="G3" s="13" t="n">
        <v>3</v>
      </c>
      <c r="H3" s="13" t="n">
        <v>2</v>
      </c>
      <c r="I3" s="14" t="n">
        <f aca="false">(F3+G3)*(6-H3)</f>
        <v>28</v>
      </c>
      <c r="J3" s="12" t="s">
        <v>55</v>
      </c>
      <c r="K3" s="12" t="s">
        <v>62</v>
      </c>
    </row>
    <row r="4" customFormat="false" ht="109.5" hidden="false" customHeight="true" outlineLevel="0" collapsed="false">
      <c r="A4" s="7" t="s">
        <v>63</v>
      </c>
      <c r="B4" s="8" t="s">
        <v>58</v>
      </c>
      <c r="C4" s="8" t="s">
        <v>64</v>
      </c>
      <c r="D4" s="8" t="s">
        <v>65</v>
      </c>
      <c r="E4" s="7" t="s">
        <v>66</v>
      </c>
      <c r="F4" s="9" t="n">
        <v>5</v>
      </c>
      <c r="G4" s="9" t="n">
        <v>4</v>
      </c>
      <c r="H4" s="9" t="n">
        <v>3</v>
      </c>
      <c r="I4" s="10" t="n">
        <f aca="false">(F4+G4)*(6-H4)</f>
        <v>27</v>
      </c>
      <c r="J4" s="8" t="s">
        <v>67</v>
      </c>
      <c r="K4" s="8" t="s">
        <v>68</v>
      </c>
    </row>
    <row r="5" customFormat="false" ht="109.5" hidden="false" customHeight="true" outlineLevel="0" collapsed="false">
      <c r="A5" s="11" t="s">
        <v>69</v>
      </c>
      <c r="B5" s="12" t="s">
        <v>70</v>
      </c>
      <c r="C5" s="12" t="s">
        <v>71</v>
      </c>
      <c r="D5" s="12" t="s">
        <v>72</v>
      </c>
      <c r="E5" s="11" t="s">
        <v>73</v>
      </c>
      <c r="F5" s="13" t="n">
        <v>5</v>
      </c>
      <c r="G5" s="13" t="n">
        <v>3</v>
      </c>
      <c r="H5" s="13" t="n">
        <v>3</v>
      </c>
      <c r="I5" s="14" t="n">
        <f aca="false">(F5+G5)*(6-H5)</f>
        <v>24</v>
      </c>
      <c r="J5" s="12" t="s">
        <v>74</v>
      </c>
      <c r="K5" s="12" t="s">
        <v>75</v>
      </c>
    </row>
    <row r="6" customFormat="false" ht="109.5" hidden="false" customHeight="true" outlineLevel="0" collapsed="false">
      <c r="A6" s="7" t="s">
        <v>76</v>
      </c>
      <c r="B6" s="8" t="s">
        <v>58</v>
      </c>
      <c r="C6" s="8" t="s">
        <v>77</v>
      </c>
      <c r="D6" s="8" t="s">
        <v>78</v>
      </c>
      <c r="E6" s="7" t="s">
        <v>79</v>
      </c>
      <c r="F6" s="9" t="n">
        <v>3</v>
      </c>
      <c r="G6" s="9" t="n">
        <v>3</v>
      </c>
      <c r="H6" s="9" t="n">
        <v>2</v>
      </c>
      <c r="I6" s="10" t="n">
        <f aca="false">(F6+G6)*(6-H6)</f>
        <v>24</v>
      </c>
      <c r="J6" s="8" t="s">
        <v>55</v>
      </c>
      <c r="K6" s="8" t="s">
        <v>80</v>
      </c>
    </row>
    <row r="7" customFormat="false" ht="109.5" hidden="false" customHeight="true" outlineLevel="0" collapsed="false">
      <c r="A7" s="11" t="s">
        <v>81</v>
      </c>
      <c r="B7" s="12" t="s">
        <v>82</v>
      </c>
      <c r="C7" s="12" t="s">
        <v>83</v>
      </c>
      <c r="D7" s="12" t="s">
        <v>84</v>
      </c>
      <c r="E7" s="11" t="s">
        <v>85</v>
      </c>
      <c r="F7" s="13" t="n">
        <v>4</v>
      </c>
      <c r="G7" s="13" t="n">
        <v>3</v>
      </c>
      <c r="H7" s="13" t="n">
        <v>3</v>
      </c>
      <c r="I7" s="14" t="n">
        <f aca="false">(F7+G7)*(6-H7)</f>
        <v>21</v>
      </c>
      <c r="J7" s="12" t="s">
        <v>67</v>
      </c>
      <c r="K7" s="12" t="s">
        <v>86</v>
      </c>
    </row>
    <row r="8" customFormat="false" ht="109.5" hidden="false" customHeight="true" outlineLevel="0" collapsed="false">
      <c r="A8" s="7" t="s">
        <v>87</v>
      </c>
      <c r="B8" s="8" t="s">
        <v>88</v>
      </c>
      <c r="C8" s="8" t="s">
        <v>89</v>
      </c>
      <c r="D8" s="8" t="s">
        <v>90</v>
      </c>
      <c r="E8" s="7" t="s">
        <v>91</v>
      </c>
      <c r="F8" s="9" t="n">
        <v>3</v>
      </c>
      <c r="G8" s="9" t="n">
        <v>4</v>
      </c>
      <c r="H8" s="9" t="n">
        <v>3</v>
      </c>
      <c r="I8" s="10" t="n">
        <f aca="false">(F8+G8)*(6-H8)</f>
        <v>21</v>
      </c>
      <c r="J8" s="8" t="s">
        <v>67</v>
      </c>
      <c r="K8" s="8" t="s">
        <v>92</v>
      </c>
    </row>
    <row r="9" customFormat="false" ht="109.5" hidden="false" customHeight="true" outlineLevel="0" collapsed="false">
      <c r="A9" s="11" t="s">
        <v>93</v>
      </c>
      <c r="B9" s="12" t="s">
        <v>70</v>
      </c>
      <c r="C9" s="12" t="s">
        <v>94</v>
      </c>
      <c r="D9" s="12" t="s">
        <v>95</v>
      </c>
      <c r="E9" s="11" t="s">
        <v>96</v>
      </c>
      <c r="F9" s="13" t="n">
        <v>3</v>
      </c>
      <c r="G9" s="13" t="n">
        <v>2</v>
      </c>
      <c r="H9" s="13" t="n">
        <v>2</v>
      </c>
      <c r="I9" s="14" t="n">
        <f aca="false">(F9+G9)*(6-H9)</f>
        <v>20</v>
      </c>
      <c r="J9" s="12" t="s">
        <v>55</v>
      </c>
      <c r="K9" s="12" t="s">
        <v>97</v>
      </c>
    </row>
    <row r="10" customFormat="false" ht="109.5" hidden="false" customHeight="true" outlineLevel="0" collapsed="false">
      <c r="A10" s="7" t="s">
        <v>98</v>
      </c>
      <c r="B10" s="8" t="s">
        <v>70</v>
      </c>
      <c r="C10" s="8" t="s">
        <v>99</v>
      </c>
      <c r="D10" s="8" t="s">
        <v>100</v>
      </c>
      <c r="E10" s="7" t="s">
        <v>101</v>
      </c>
      <c r="F10" s="9" t="n">
        <v>3</v>
      </c>
      <c r="G10" s="9" t="n">
        <v>2</v>
      </c>
      <c r="H10" s="9" t="n">
        <v>2</v>
      </c>
      <c r="I10" s="10" t="n">
        <f aca="false">(F10+G10)*(6-H10)</f>
        <v>20</v>
      </c>
      <c r="J10" s="8" t="s">
        <v>55</v>
      </c>
      <c r="K10" s="8" t="s">
        <v>102</v>
      </c>
    </row>
    <row r="11" customFormat="false" ht="109.5" hidden="false" customHeight="true" outlineLevel="0" collapsed="false">
      <c r="A11" s="11" t="s">
        <v>103</v>
      </c>
      <c r="B11" s="12" t="s">
        <v>82</v>
      </c>
      <c r="C11" s="12" t="s">
        <v>104</v>
      </c>
      <c r="D11" s="12" t="s">
        <v>105</v>
      </c>
      <c r="E11" s="11" t="s">
        <v>106</v>
      </c>
      <c r="F11" s="13" t="n">
        <v>2</v>
      </c>
      <c r="G11" s="13" t="n">
        <v>3</v>
      </c>
      <c r="H11" s="13" t="n">
        <v>2</v>
      </c>
      <c r="I11" s="14" t="n">
        <f aca="false">(F11+G11)*(6-H11)</f>
        <v>20</v>
      </c>
      <c r="J11" s="12" t="s">
        <v>55</v>
      </c>
      <c r="K11" s="12" t="s">
        <v>107</v>
      </c>
    </row>
    <row r="12" customFormat="false" ht="109.5" hidden="false" customHeight="true" outlineLevel="0" collapsed="false">
      <c r="A12" s="7" t="s">
        <v>108</v>
      </c>
      <c r="B12" s="8" t="s">
        <v>109</v>
      </c>
      <c r="C12" s="8" t="s">
        <v>110</v>
      </c>
      <c r="D12" s="8" t="s">
        <v>111</v>
      </c>
      <c r="E12" s="7" t="s">
        <v>112</v>
      </c>
      <c r="F12" s="9" t="n">
        <v>4</v>
      </c>
      <c r="G12" s="9" t="n">
        <v>2</v>
      </c>
      <c r="H12" s="9" t="n">
        <v>3</v>
      </c>
      <c r="I12" s="10" t="n">
        <f aca="false">(F12+G12)*(6-H12)</f>
        <v>18</v>
      </c>
      <c r="J12" s="8" t="s">
        <v>67</v>
      </c>
      <c r="K12" s="8" t="s">
        <v>113</v>
      </c>
    </row>
    <row r="13" customFormat="false" ht="109.5" hidden="false" customHeight="true" outlineLevel="0" collapsed="false">
      <c r="A13" s="11" t="s">
        <v>114</v>
      </c>
      <c r="B13" s="12" t="s">
        <v>109</v>
      </c>
      <c r="C13" s="12" t="s">
        <v>115</v>
      </c>
      <c r="D13" s="12" t="s">
        <v>116</v>
      </c>
      <c r="E13" s="11" t="s">
        <v>117</v>
      </c>
      <c r="F13" s="13" t="n">
        <v>3</v>
      </c>
      <c r="G13" s="13" t="n">
        <v>3</v>
      </c>
      <c r="H13" s="13" t="n">
        <v>3</v>
      </c>
      <c r="I13" s="14" t="n">
        <f aca="false">(F13+G13)*(6-H13)</f>
        <v>18</v>
      </c>
      <c r="J13" s="12" t="s">
        <v>67</v>
      </c>
      <c r="K13" s="12" t="s">
        <v>118</v>
      </c>
    </row>
    <row r="14" customFormat="false" ht="109.5" hidden="false" customHeight="true" outlineLevel="0" collapsed="false">
      <c r="A14" s="7" t="s">
        <v>119</v>
      </c>
      <c r="B14" s="8" t="s">
        <v>82</v>
      </c>
      <c r="C14" s="8" t="s">
        <v>120</v>
      </c>
      <c r="D14" s="8" t="s">
        <v>121</v>
      </c>
      <c r="E14" s="7" t="s">
        <v>122</v>
      </c>
      <c r="F14" s="9" t="n">
        <v>5</v>
      </c>
      <c r="G14" s="9" t="n">
        <v>4</v>
      </c>
      <c r="H14" s="9" t="n">
        <v>4</v>
      </c>
      <c r="I14" s="10" t="n">
        <f aca="false">(F14+G14)*(6-H14)</f>
        <v>18</v>
      </c>
      <c r="J14" s="8" t="s">
        <v>67</v>
      </c>
      <c r="K14" s="8" t="s">
        <v>123</v>
      </c>
    </row>
    <row r="15" customFormat="false" ht="109.5" hidden="false" customHeight="true" outlineLevel="0" collapsed="false">
      <c r="A15" s="11" t="s">
        <v>124</v>
      </c>
      <c r="B15" s="12" t="s">
        <v>88</v>
      </c>
      <c r="C15" s="12" t="s">
        <v>125</v>
      </c>
      <c r="D15" s="12" t="s">
        <v>126</v>
      </c>
      <c r="E15" s="11" t="s">
        <v>127</v>
      </c>
      <c r="F15" s="13" t="n">
        <v>4</v>
      </c>
      <c r="G15" s="13" t="n">
        <v>5</v>
      </c>
      <c r="H15" s="13" t="n">
        <v>4</v>
      </c>
      <c r="I15" s="14" t="n">
        <f aca="false">(F15+G15)*(6-H15)</f>
        <v>18</v>
      </c>
      <c r="J15" s="12" t="s">
        <v>67</v>
      </c>
      <c r="K15" s="12" t="s">
        <v>128</v>
      </c>
    </row>
    <row r="16" customFormat="false" ht="109.5" hidden="false" customHeight="true" outlineLevel="0" collapsed="false">
      <c r="A16" s="7" t="s">
        <v>129</v>
      </c>
      <c r="B16" s="8" t="s">
        <v>82</v>
      </c>
      <c r="C16" s="8" t="s">
        <v>130</v>
      </c>
      <c r="D16" s="8" t="s">
        <v>131</v>
      </c>
      <c r="E16" s="7" t="s">
        <v>132</v>
      </c>
      <c r="F16" s="9" t="n">
        <v>4</v>
      </c>
      <c r="G16" s="9" t="n">
        <v>4</v>
      </c>
      <c r="H16" s="9" t="n">
        <v>4</v>
      </c>
      <c r="I16" s="10" t="n">
        <f aca="false">(F16+G16)*(6-H16)</f>
        <v>16</v>
      </c>
      <c r="J16" s="8" t="s">
        <v>67</v>
      </c>
      <c r="K16" s="8" t="s">
        <v>133</v>
      </c>
    </row>
    <row r="17" customFormat="false" ht="109.5" hidden="false" customHeight="true" outlineLevel="0" collapsed="false">
      <c r="A17" s="11" t="s">
        <v>134</v>
      </c>
      <c r="B17" s="12" t="s">
        <v>70</v>
      </c>
      <c r="C17" s="12" t="s">
        <v>135</v>
      </c>
      <c r="D17" s="12" t="s">
        <v>136</v>
      </c>
      <c r="E17" s="11" t="s">
        <v>137</v>
      </c>
      <c r="F17" s="13" t="n">
        <v>3</v>
      </c>
      <c r="G17" s="13" t="n">
        <v>1</v>
      </c>
      <c r="H17" s="13" t="n">
        <v>2</v>
      </c>
      <c r="I17" s="14" t="n">
        <f aca="false">(F17+G17)*(6-H17)</f>
        <v>16</v>
      </c>
      <c r="J17" s="12" t="s">
        <v>55</v>
      </c>
      <c r="K17" s="12" t="s">
        <v>138</v>
      </c>
    </row>
    <row r="18" customFormat="false" ht="109.5" hidden="false" customHeight="true" outlineLevel="0" collapsed="false">
      <c r="A18" s="7" t="s">
        <v>139</v>
      </c>
      <c r="B18" s="8" t="s">
        <v>58</v>
      </c>
      <c r="C18" s="8" t="s">
        <v>140</v>
      </c>
      <c r="D18" s="8" t="s">
        <v>141</v>
      </c>
      <c r="E18" s="7" t="s">
        <v>142</v>
      </c>
      <c r="F18" s="9" t="n">
        <v>2</v>
      </c>
      <c r="G18" s="9" t="n">
        <v>2</v>
      </c>
      <c r="H18" s="9" t="n">
        <v>2</v>
      </c>
      <c r="I18" s="10" t="n">
        <f aca="false">(F18+G18)*(6-H18)</f>
        <v>16</v>
      </c>
      <c r="J18" s="8" t="s">
        <v>55</v>
      </c>
      <c r="K18" s="8" t="s">
        <v>143</v>
      </c>
    </row>
    <row r="19" customFormat="false" ht="109.5" hidden="false" customHeight="true" outlineLevel="0" collapsed="false">
      <c r="A19" s="11" t="s">
        <v>144</v>
      </c>
      <c r="B19" s="12" t="s">
        <v>88</v>
      </c>
      <c r="C19" s="12" t="s">
        <v>145</v>
      </c>
      <c r="D19" s="12" t="s">
        <v>146</v>
      </c>
      <c r="E19" s="11" t="s">
        <v>147</v>
      </c>
      <c r="F19" s="13" t="n">
        <v>2</v>
      </c>
      <c r="G19" s="13" t="n">
        <v>2</v>
      </c>
      <c r="H19" s="13" t="n">
        <v>2</v>
      </c>
      <c r="I19" s="14" t="n">
        <f aca="false">(F19+G19)*(6-H19)</f>
        <v>16</v>
      </c>
      <c r="J19" s="12" t="s">
        <v>55</v>
      </c>
      <c r="K19" s="12" t="s">
        <v>148</v>
      </c>
    </row>
    <row r="20" customFormat="false" ht="109.5" hidden="false" customHeight="true" outlineLevel="0" collapsed="false">
      <c r="A20" s="7" t="s">
        <v>149</v>
      </c>
      <c r="B20" s="8" t="s">
        <v>150</v>
      </c>
      <c r="C20" s="8" t="s">
        <v>151</v>
      </c>
      <c r="D20" s="8" t="s">
        <v>152</v>
      </c>
      <c r="E20" s="7" t="s">
        <v>153</v>
      </c>
      <c r="F20" s="9" t="n">
        <v>4</v>
      </c>
      <c r="G20" s="9" t="n">
        <v>4</v>
      </c>
      <c r="H20" s="9" t="n">
        <v>4</v>
      </c>
      <c r="I20" s="10" t="n">
        <f aca="false">(F20+G20)*(6-H20)</f>
        <v>16</v>
      </c>
      <c r="J20" s="8" t="s">
        <v>67</v>
      </c>
      <c r="K20" s="8" t="s">
        <v>154</v>
      </c>
    </row>
    <row r="21" customFormat="false" ht="109.5" hidden="false" customHeight="true" outlineLevel="0" collapsed="false">
      <c r="A21" s="11" t="s">
        <v>155</v>
      </c>
      <c r="B21" s="12" t="s">
        <v>70</v>
      </c>
      <c r="C21" s="12" t="s">
        <v>156</v>
      </c>
      <c r="D21" s="12" t="s">
        <v>157</v>
      </c>
      <c r="E21" s="11" t="s">
        <v>158</v>
      </c>
      <c r="F21" s="13" t="n">
        <v>3</v>
      </c>
      <c r="G21" s="13" t="n">
        <v>2</v>
      </c>
      <c r="H21" s="13" t="n">
        <v>3</v>
      </c>
      <c r="I21" s="14" t="n">
        <f aca="false">(F21+G21)*(6-H21)</f>
        <v>15</v>
      </c>
      <c r="J21" s="12" t="s">
        <v>55</v>
      </c>
      <c r="K21" s="12" t="s">
        <v>159</v>
      </c>
    </row>
    <row r="22" customFormat="false" ht="109.5" hidden="false" customHeight="true" outlineLevel="0" collapsed="false">
      <c r="A22" s="7" t="s">
        <v>160</v>
      </c>
      <c r="B22" s="8" t="s">
        <v>109</v>
      </c>
      <c r="C22" s="8" t="s">
        <v>161</v>
      </c>
      <c r="D22" s="8" t="s">
        <v>162</v>
      </c>
      <c r="E22" s="7" t="s">
        <v>163</v>
      </c>
      <c r="F22" s="9" t="n">
        <v>3</v>
      </c>
      <c r="G22" s="9" t="n">
        <v>2</v>
      </c>
      <c r="H22" s="9" t="n">
        <v>3</v>
      </c>
      <c r="I22" s="10" t="n">
        <f aca="false">(F22+G22)*(6-H22)</f>
        <v>15</v>
      </c>
      <c r="J22" s="8" t="s">
        <v>67</v>
      </c>
      <c r="K22" s="8" t="s">
        <v>164</v>
      </c>
    </row>
    <row r="23" customFormat="false" ht="109.5" hidden="false" customHeight="true" outlineLevel="0" collapsed="false">
      <c r="A23" s="11" t="s">
        <v>165</v>
      </c>
      <c r="B23" s="12" t="s">
        <v>88</v>
      </c>
      <c r="C23" s="12" t="s">
        <v>166</v>
      </c>
      <c r="D23" s="12" t="s">
        <v>167</v>
      </c>
      <c r="E23" s="11" t="s">
        <v>168</v>
      </c>
      <c r="F23" s="13" t="n">
        <v>2</v>
      </c>
      <c r="G23" s="13" t="n">
        <v>3</v>
      </c>
      <c r="H23" s="13" t="n">
        <v>3</v>
      </c>
      <c r="I23" s="14" t="n">
        <f aca="false">(F23+G23)*(6-H23)</f>
        <v>15</v>
      </c>
      <c r="J23" s="12" t="s">
        <v>55</v>
      </c>
      <c r="K23" s="12" t="s">
        <v>169</v>
      </c>
    </row>
    <row r="24" customFormat="false" ht="109.5" hidden="false" customHeight="true" outlineLevel="0" collapsed="false">
      <c r="A24" s="7" t="s">
        <v>170</v>
      </c>
      <c r="B24" s="8" t="s">
        <v>58</v>
      </c>
      <c r="C24" s="8" t="s">
        <v>171</v>
      </c>
      <c r="D24" s="8" t="s">
        <v>172</v>
      </c>
      <c r="E24" s="7" t="s">
        <v>173</v>
      </c>
      <c r="F24" s="9" t="n">
        <v>3</v>
      </c>
      <c r="G24" s="9" t="n">
        <v>2</v>
      </c>
      <c r="H24" s="9" t="n">
        <v>3</v>
      </c>
      <c r="I24" s="10" t="n">
        <f aca="false">(F24+G24)*(6-H24)</f>
        <v>15</v>
      </c>
      <c r="J24" s="8" t="s">
        <v>67</v>
      </c>
      <c r="K24" s="8" t="s">
        <v>174</v>
      </c>
    </row>
    <row r="25" customFormat="false" ht="109.5" hidden="false" customHeight="true" outlineLevel="0" collapsed="false">
      <c r="A25" s="11" t="s">
        <v>175</v>
      </c>
      <c r="B25" s="12" t="s">
        <v>109</v>
      </c>
      <c r="C25" s="12" t="s">
        <v>176</v>
      </c>
      <c r="D25" s="12" t="s">
        <v>177</v>
      </c>
      <c r="E25" s="11" t="s">
        <v>178</v>
      </c>
      <c r="F25" s="13" t="n">
        <v>4</v>
      </c>
      <c r="G25" s="13" t="n">
        <v>3</v>
      </c>
      <c r="H25" s="13" t="n">
        <v>4</v>
      </c>
      <c r="I25" s="14" t="n">
        <f aca="false">(F25+G25)*(6-H25)</f>
        <v>14</v>
      </c>
      <c r="J25" s="12" t="s">
        <v>67</v>
      </c>
      <c r="K25" s="12" t="s">
        <v>179</v>
      </c>
    </row>
    <row r="26" customFormat="false" ht="109.5" hidden="false" customHeight="true" outlineLevel="0" collapsed="false">
      <c r="A26" s="7" t="s">
        <v>180</v>
      </c>
      <c r="B26" s="8" t="s">
        <v>109</v>
      </c>
      <c r="C26" s="8" t="s">
        <v>181</v>
      </c>
      <c r="D26" s="8" t="s">
        <v>182</v>
      </c>
      <c r="E26" s="7" t="s">
        <v>183</v>
      </c>
      <c r="F26" s="9" t="n">
        <v>4</v>
      </c>
      <c r="G26" s="9" t="n">
        <v>3</v>
      </c>
      <c r="H26" s="9" t="n">
        <v>4</v>
      </c>
      <c r="I26" s="10" t="n">
        <f aca="false">(F26+G26)*(6-H26)</f>
        <v>14</v>
      </c>
      <c r="J26" s="8" t="s">
        <v>67</v>
      </c>
      <c r="K26" s="8" t="s">
        <v>184</v>
      </c>
    </row>
    <row r="27" customFormat="false" ht="109.5" hidden="false" customHeight="true" outlineLevel="0" collapsed="false">
      <c r="A27" s="11" t="s">
        <v>185</v>
      </c>
      <c r="B27" s="12" t="s">
        <v>109</v>
      </c>
      <c r="C27" s="12" t="s">
        <v>186</v>
      </c>
      <c r="D27" s="12" t="s">
        <v>187</v>
      </c>
      <c r="E27" s="11" t="s">
        <v>188</v>
      </c>
      <c r="F27" s="13" t="n">
        <v>2</v>
      </c>
      <c r="G27" s="13" t="n">
        <v>1</v>
      </c>
      <c r="H27" s="13" t="n">
        <v>2</v>
      </c>
      <c r="I27" s="14" t="n">
        <f aca="false">(F27+G27)*(6-H27)</f>
        <v>12</v>
      </c>
      <c r="J27" s="12" t="s">
        <v>55</v>
      </c>
      <c r="K27" s="12" t="s">
        <v>189</v>
      </c>
    </row>
    <row r="28" customFormat="false" ht="109.5" hidden="false" customHeight="true" outlineLevel="0" collapsed="false">
      <c r="A28" s="7" t="s">
        <v>190</v>
      </c>
      <c r="B28" s="8" t="s">
        <v>191</v>
      </c>
      <c r="C28" s="8" t="s">
        <v>192</v>
      </c>
      <c r="D28" s="8" t="s">
        <v>193</v>
      </c>
      <c r="E28" s="7" t="s">
        <v>194</v>
      </c>
      <c r="F28" s="9" t="n">
        <v>3</v>
      </c>
      <c r="G28" s="9" t="n">
        <v>2</v>
      </c>
      <c r="H28" s="9" t="n">
        <v>5</v>
      </c>
      <c r="I28" s="10" t="n">
        <f aca="false">(F28+G28)*(6-H28)</f>
        <v>5</v>
      </c>
      <c r="J28" s="8" t="s">
        <v>195</v>
      </c>
      <c r="K28" s="8" t="s">
        <v>196</v>
      </c>
    </row>
  </sheetData>
  <autoFilter ref="A1:K28"/>
  <conditionalFormatting sqref="I2:I28">
    <cfRule type="colorScale" priority="2">
      <colorScale>
        <cfvo type="min" val="0"/>
        <cfvo type="percentile" val="50"/>
        <cfvo type="max" val="0"/>
        <color rgb="FFFFFFFF"/>
        <color rgb="FFFFE0B2"/>
        <color rgb="FFEF6C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5" min="3" style="0" width="13"/>
    <col collapsed="false" customWidth="true" hidden="false" outlineLevel="0" max="6" min="6" style="0" width="60"/>
  </cols>
  <sheetData>
    <row r="1" customFormat="false" ht="19.7" hidden="false" customHeight="false" outlineLevel="0" collapsed="false">
      <c r="A1" s="1" t="s">
        <v>197</v>
      </c>
      <c r="B1" s="1"/>
      <c r="C1" s="1"/>
      <c r="D1" s="1"/>
      <c r="E1" s="1"/>
      <c r="F1" s="1"/>
    </row>
    <row r="3" customFormat="false" ht="24" hidden="false" customHeight="true" outlineLevel="0" collapsed="false">
      <c r="A3" s="6" t="s">
        <v>41</v>
      </c>
      <c r="B3" s="6" t="s">
        <v>198</v>
      </c>
      <c r="C3" s="6" t="s">
        <v>199</v>
      </c>
      <c r="D3" s="6" t="s">
        <v>200</v>
      </c>
      <c r="E3" s="6" t="s">
        <v>201</v>
      </c>
      <c r="F3" s="6" t="s">
        <v>202</v>
      </c>
    </row>
    <row r="4" customFormat="false" ht="15" hidden="false" customHeight="false" outlineLevel="0" collapsed="false">
      <c r="A4" s="8" t="s">
        <v>51</v>
      </c>
      <c r="B4" s="9" t="n">
        <v>1</v>
      </c>
      <c r="C4" s="9" t="n">
        <v>3</v>
      </c>
      <c r="D4" s="9" t="n">
        <v>3</v>
      </c>
      <c r="E4" s="9" t="n">
        <v>1</v>
      </c>
      <c r="F4" s="8" t="s">
        <v>203</v>
      </c>
    </row>
    <row r="5" customFormat="false" ht="15" hidden="false" customHeight="false" outlineLevel="0" collapsed="false">
      <c r="A5" s="12" t="s">
        <v>58</v>
      </c>
      <c r="B5" s="13" t="n">
        <v>5</v>
      </c>
      <c r="C5" s="13" t="n">
        <v>3.4</v>
      </c>
      <c r="D5" s="13" t="n">
        <v>2.8</v>
      </c>
      <c r="E5" s="13" t="n">
        <v>2.4</v>
      </c>
      <c r="F5" s="12" t="s">
        <v>204</v>
      </c>
    </row>
    <row r="6" customFormat="false" ht="23.85" hidden="false" customHeight="false" outlineLevel="0" collapsed="false">
      <c r="A6" s="8" t="s">
        <v>70</v>
      </c>
      <c r="B6" s="9" t="n">
        <v>5</v>
      </c>
      <c r="C6" s="9" t="n">
        <v>3.4</v>
      </c>
      <c r="D6" s="9" t="n">
        <v>2</v>
      </c>
      <c r="E6" s="9" t="n">
        <v>2.4</v>
      </c>
      <c r="F6" s="8" t="s">
        <v>205</v>
      </c>
    </row>
    <row r="7" customFormat="false" ht="15" hidden="false" customHeight="false" outlineLevel="0" collapsed="false">
      <c r="A7" s="12" t="s">
        <v>82</v>
      </c>
      <c r="B7" s="13" t="n">
        <v>4</v>
      </c>
      <c r="C7" s="13" t="n">
        <v>3.8</v>
      </c>
      <c r="D7" s="13" t="n">
        <v>3.5</v>
      </c>
      <c r="E7" s="13" t="n">
        <v>3.2</v>
      </c>
      <c r="F7" s="12" t="s">
        <v>206</v>
      </c>
    </row>
    <row r="8" customFormat="false" ht="15" hidden="false" customHeight="false" outlineLevel="0" collapsed="false">
      <c r="A8" s="8" t="s">
        <v>88</v>
      </c>
      <c r="B8" s="9" t="n">
        <v>4</v>
      </c>
      <c r="C8" s="9" t="n">
        <v>2.8</v>
      </c>
      <c r="D8" s="9" t="n">
        <v>3.5</v>
      </c>
      <c r="E8" s="9" t="n">
        <v>3</v>
      </c>
      <c r="F8" s="8" t="s">
        <v>207</v>
      </c>
    </row>
    <row r="9" customFormat="false" ht="15" hidden="false" customHeight="false" outlineLevel="0" collapsed="false">
      <c r="A9" s="12" t="s">
        <v>109</v>
      </c>
      <c r="B9" s="13" t="n">
        <v>6</v>
      </c>
      <c r="C9" s="13" t="n">
        <v>3.3</v>
      </c>
      <c r="D9" s="13" t="n">
        <v>2.3</v>
      </c>
      <c r="E9" s="13" t="n">
        <v>3.2</v>
      </c>
      <c r="F9" s="12" t="s">
        <v>208</v>
      </c>
    </row>
    <row r="10" customFormat="false" ht="15" hidden="false" customHeight="false" outlineLevel="0" collapsed="false">
      <c r="A10" s="8" t="s">
        <v>150</v>
      </c>
      <c r="B10" s="9" t="n">
        <v>1</v>
      </c>
      <c r="C10" s="9" t="n">
        <v>4</v>
      </c>
      <c r="D10" s="9" t="n">
        <v>4</v>
      </c>
      <c r="E10" s="9" t="n">
        <v>4</v>
      </c>
      <c r="F10" s="8" t="s">
        <v>209</v>
      </c>
    </row>
    <row r="11" customFormat="false" ht="15" hidden="false" customHeight="false" outlineLevel="0" collapsed="false">
      <c r="A11" s="12" t="s">
        <v>191</v>
      </c>
      <c r="B11" s="13" t="n">
        <v>1</v>
      </c>
      <c r="C11" s="13" t="n">
        <v>3</v>
      </c>
      <c r="D11" s="13" t="n">
        <v>2</v>
      </c>
      <c r="E11" s="13" t="n">
        <v>5</v>
      </c>
      <c r="F11" s="12" t="s">
        <v>210</v>
      </c>
    </row>
    <row r="12" customFormat="false" ht="15" hidden="false" customHeight="false" outlineLevel="0" collapsed="false">
      <c r="A12" s="15" t="s">
        <v>211</v>
      </c>
      <c r="B12" s="16" t="n">
        <f aca="false">SUM(B4:B11)</f>
        <v>27</v>
      </c>
      <c r="C12" s="16" t="n">
        <f aca="false">AVERAGE(C4:C11)</f>
        <v>3.3375</v>
      </c>
      <c r="D12" s="16" t="n">
        <f aca="false">AVERAGE(D4:D11)</f>
        <v>2.8875</v>
      </c>
      <c r="E12" s="16" t="n">
        <f aca="false">AVERAGE(E4:E11)</f>
        <v>3.025</v>
      </c>
      <c r="F12" s="17"/>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9"/>
    <col collapsed="false" customWidth="true" hidden="false" outlineLevel="0" max="3" min="3" style="0" width="70"/>
    <col collapsed="false" customWidth="true" hidden="false" outlineLevel="0" max="4" min="4" style="0" width="9"/>
    <col collapsed="false" customWidth="true" hidden="false" outlineLevel="0" max="5" min="5" style="0" width="11"/>
  </cols>
  <sheetData>
    <row r="1" customFormat="false" ht="19.7" hidden="false" customHeight="false" outlineLevel="0" collapsed="false">
      <c r="A1" s="1" t="s">
        <v>212</v>
      </c>
      <c r="B1" s="1"/>
      <c r="C1" s="1"/>
      <c r="D1" s="1"/>
      <c r="E1" s="1"/>
    </row>
    <row r="2" customFormat="false" ht="31.5" hidden="false" customHeight="true" outlineLevel="0" collapsed="false">
      <c r="A2" s="18" t="s">
        <v>213</v>
      </c>
      <c r="B2" s="18"/>
      <c r="C2" s="18"/>
      <c r="D2" s="18"/>
      <c r="E2" s="18"/>
    </row>
    <row r="4" customFormat="false" ht="15" hidden="false" customHeight="false" outlineLevel="0" collapsed="false">
      <c r="A4" s="6" t="s">
        <v>13</v>
      </c>
      <c r="B4" s="6" t="s">
        <v>40</v>
      </c>
      <c r="C4" s="6" t="s">
        <v>42</v>
      </c>
      <c r="D4" s="6" t="s">
        <v>11</v>
      </c>
      <c r="E4" s="6" t="s">
        <v>48</v>
      </c>
    </row>
    <row r="5" customFormat="false" ht="21.75" hidden="false" customHeight="true" outlineLevel="0" collapsed="false">
      <c r="A5" s="19" t="s">
        <v>214</v>
      </c>
      <c r="B5" s="19"/>
      <c r="C5" s="19"/>
      <c r="D5" s="19"/>
      <c r="E5" s="19"/>
    </row>
    <row r="6" customFormat="false" ht="27.75" hidden="false" customHeight="true" outlineLevel="0" collapsed="false">
      <c r="A6" s="20"/>
      <c r="B6" s="21" t="s">
        <v>50</v>
      </c>
      <c r="C6" s="22" t="s">
        <v>52</v>
      </c>
      <c r="D6" s="9" t="n">
        <v>1</v>
      </c>
      <c r="E6" s="23" t="n">
        <v>30</v>
      </c>
    </row>
    <row r="7" customFormat="false" ht="27.75" hidden="false" customHeight="true" outlineLevel="0" collapsed="false">
      <c r="A7" s="24"/>
      <c r="B7" s="25" t="s">
        <v>57</v>
      </c>
      <c r="C7" s="26" t="s">
        <v>59</v>
      </c>
      <c r="D7" s="13" t="n">
        <v>2</v>
      </c>
      <c r="E7" s="27" t="n">
        <v>28</v>
      </c>
    </row>
    <row r="8" customFormat="false" ht="27.75" hidden="false" customHeight="true" outlineLevel="0" collapsed="false">
      <c r="A8" s="20"/>
      <c r="B8" s="21" t="s">
        <v>76</v>
      </c>
      <c r="C8" s="22" t="s">
        <v>77</v>
      </c>
      <c r="D8" s="9" t="n">
        <v>2</v>
      </c>
      <c r="E8" s="23" t="n">
        <v>24</v>
      </c>
    </row>
    <row r="9" customFormat="false" ht="27.75" hidden="false" customHeight="true" outlineLevel="0" collapsed="false">
      <c r="A9" s="24"/>
      <c r="B9" s="25" t="s">
        <v>93</v>
      </c>
      <c r="C9" s="26" t="s">
        <v>94</v>
      </c>
      <c r="D9" s="13" t="n">
        <v>2</v>
      </c>
      <c r="E9" s="27" t="n">
        <v>20</v>
      </c>
    </row>
    <row r="10" customFormat="false" ht="27.75" hidden="false" customHeight="true" outlineLevel="0" collapsed="false">
      <c r="A10" s="20"/>
      <c r="B10" s="21" t="s">
        <v>98</v>
      </c>
      <c r="C10" s="22" t="s">
        <v>99</v>
      </c>
      <c r="D10" s="9" t="n">
        <v>2</v>
      </c>
      <c r="E10" s="23" t="n">
        <v>20</v>
      </c>
    </row>
    <row r="11" customFormat="false" ht="27.75" hidden="false" customHeight="true" outlineLevel="0" collapsed="false">
      <c r="A11" s="24"/>
      <c r="B11" s="25" t="s">
        <v>103</v>
      </c>
      <c r="C11" s="26" t="s">
        <v>104</v>
      </c>
      <c r="D11" s="13" t="n">
        <v>2</v>
      </c>
      <c r="E11" s="27" t="n">
        <v>20</v>
      </c>
    </row>
    <row r="12" customFormat="false" ht="27.75" hidden="false" customHeight="true" outlineLevel="0" collapsed="false">
      <c r="A12" s="20"/>
      <c r="B12" s="21" t="s">
        <v>134</v>
      </c>
      <c r="C12" s="22" t="s">
        <v>135</v>
      </c>
      <c r="D12" s="9" t="n">
        <v>2</v>
      </c>
      <c r="E12" s="23" t="n">
        <v>16</v>
      </c>
    </row>
    <row r="13" customFormat="false" ht="27.75" hidden="false" customHeight="true" outlineLevel="0" collapsed="false">
      <c r="A13" s="24"/>
      <c r="B13" s="25" t="s">
        <v>139</v>
      </c>
      <c r="C13" s="26" t="s">
        <v>140</v>
      </c>
      <c r="D13" s="13" t="n">
        <v>2</v>
      </c>
      <c r="E13" s="27" t="n">
        <v>16</v>
      </c>
    </row>
    <row r="14" customFormat="false" ht="27.75" hidden="false" customHeight="true" outlineLevel="0" collapsed="false">
      <c r="A14" s="20"/>
      <c r="B14" s="21" t="s">
        <v>144</v>
      </c>
      <c r="C14" s="22" t="s">
        <v>145</v>
      </c>
      <c r="D14" s="9" t="n">
        <v>2</v>
      </c>
      <c r="E14" s="23" t="n">
        <v>16</v>
      </c>
    </row>
    <row r="15" customFormat="false" ht="27.75" hidden="false" customHeight="true" outlineLevel="0" collapsed="false">
      <c r="A15" s="24"/>
      <c r="B15" s="25" t="s">
        <v>155</v>
      </c>
      <c r="C15" s="26" t="s">
        <v>156</v>
      </c>
      <c r="D15" s="13" t="n">
        <v>3</v>
      </c>
      <c r="E15" s="27" t="n">
        <v>15</v>
      </c>
    </row>
    <row r="16" customFormat="false" ht="27.75" hidden="false" customHeight="true" outlineLevel="0" collapsed="false">
      <c r="A16" s="20"/>
      <c r="B16" s="21" t="s">
        <v>165</v>
      </c>
      <c r="C16" s="22" t="s">
        <v>166</v>
      </c>
      <c r="D16" s="9" t="n">
        <v>3</v>
      </c>
      <c r="E16" s="23" t="n">
        <v>15</v>
      </c>
    </row>
    <row r="17" customFormat="false" ht="27.75" hidden="false" customHeight="true" outlineLevel="0" collapsed="false">
      <c r="A17" s="24"/>
      <c r="B17" s="25" t="s">
        <v>185</v>
      </c>
      <c r="C17" s="26" t="s">
        <v>186</v>
      </c>
      <c r="D17" s="13" t="n">
        <v>2</v>
      </c>
      <c r="E17" s="27" t="n">
        <v>12</v>
      </c>
    </row>
    <row r="18" customFormat="false" ht="21.75" hidden="false" customHeight="true" outlineLevel="0" collapsed="false">
      <c r="A18" s="19" t="s">
        <v>215</v>
      </c>
      <c r="B18" s="19"/>
      <c r="C18" s="19"/>
      <c r="D18" s="19"/>
      <c r="E18" s="19"/>
    </row>
    <row r="19" customFormat="false" ht="27.75" hidden="false" customHeight="true" outlineLevel="0" collapsed="false">
      <c r="A19" s="24"/>
      <c r="B19" s="25" t="s">
        <v>63</v>
      </c>
      <c r="C19" s="26" t="s">
        <v>64</v>
      </c>
      <c r="D19" s="13" t="n">
        <v>3</v>
      </c>
      <c r="E19" s="27" t="n">
        <v>27</v>
      </c>
    </row>
    <row r="20" customFormat="false" ht="27.75" hidden="false" customHeight="true" outlineLevel="0" collapsed="false">
      <c r="A20" s="20"/>
      <c r="B20" s="21" t="s">
        <v>81</v>
      </c>
      <c r="C20" s="22" t="s">
        <v>83</v>
      </c>
      <c r="D20" s="9" t="n">
        <v>3</v>
      </c>
      <c r="E20" s="23" t="n">
        <v>21</v>
      </c>
    </row>
    <row r="21" customFormat="false" ht="27.75" hidden="false" customHeight="true" outlineLevel="0" collapsed="false">
      <c r="A21" s="24"/>
      <c r="B21" s="25" t="s">
        <v>87</v>
      </c>
      <c r="C21" s="26" t="s">
        <v>89</v>
      </c>
      <c r="D21" s="13" t="n">
        <v>3</v>
      </c>
      <c r="E21" s="27" t="n">
        <v>21</v>
      </c>
    </row>
    <row r="22" customFormat="false" ht="27.75" hidden="false" customHeight="true" outlineLevel="0" collapsed="false">
      <c r="A22" s="20"/>
      <c r="B22" s="21" t="s">
        <v>108</v>
      </c>
      <c r="C22" s="22" t="s">
        <v>110</v>
      </c>
      <c r="D22" s="9" t="n">
        <v>3</v>
      </c>
      <c r="E22" s="23" t="n">
        <v>18</v>
      </c>
    </row>
    <row r="23" customFormat="false" ht="27.75" hidden="false" customHeight="true" outlineLevel="0" collapsed="false">
      <c r="A23" s="24"/>
      <c r="B23" s="25" t="s">
        <v>114</v>
      </c>
      <c r="C23" s="26" t="s">
        <v>115</v>
      </c>
      <c r="D23" s="13" t="n">
        <v>3</v>
      </c>
      <c r="E23" s="27" t="n">
        <v>18</v>
      </c>
    </row>
    <row r="24" customFormat="false" ht="27.75" hidden="false" customHeight="true" outlineLevel="0" collapsed="false">
      <c r="A24" s="20"/>
      <c r="B24" s="21" t="s">
        <v>119</v>
      </c>
      <c r="C24" s="22" t="s">
        <v>120</v>
      </c>
      <c r="D24" s="9" t="n">
        <v>4</v>
      </c>
      <c r="E24" s="23" t="n">
        <v>18</v>
      </c>
    </row>
    <row r="25" customFormat="false" ht="27.75" hidden="false" customHeight="true" outlineLevel="0" collapsed="false">
      <c r="A25" s="24"/>
      <c r="B25" s="25" t="s">
        <v>124</v>
      </c>
      <c r="C25" s="26" t="s">
        <v>125</v>
      </c>
      <c r="D25" s="13" t="n">
        <v>4</v>
      </c>
      <c r="E25" s="27" t="n">
        <v>18</v>
      </c>
    </row>
    <row r="26" customFormat="false" ht="27.75" hidden="false" customHeight="true" outlineLevel="0" collapsed="false">
      <c r="A26" s="20"/>
      <c r="B26" s="21" t="s">
        <v>129</v>
      </c>
      <c r="C26" s="22" t="s">
        <v>130</v>
      </c>
      <c r="D26" s="9" t="n">
        <v>4</v>
      </c>
      <c r="E26" s="23" t="n">
        <v>16</v>
      </c>
    </row>
    <row r="27" customFormat="false" ht="27.75" hidden="false" customHeight="true" outlineLevel="0" collapsed="false">
      <c r="A27" s="24"/>
      <c r="B27" s="25" t="s">
        <v>149</v>
      </c>
      <c r="C27" s="26" t="s">
        <v>151</v>
      </c>
      <c r="D27" s="13" t="n">
        <v>4</v>
      </c>
      <c r="E27" s="27" t="n">
        <v>16</v>
      </c>
    </row>
    <row r="28" customFormat="false" ht="27.75" hidden="false" customHeight="true" outlineLevel="0" collapsed="false">
      <c r="A28" s="20"/>
      <c r="B28" s="21" t="s">
        <v>160</v>
      </c>
      <c r="C28" s="22" t="s">
        <v>161</v>
      </c>
      <c r="D28" s="9" t="n">
        <v>3</v>
      </c>
      <c r="E28" s="23" t="n">
        <v>15</v>
      </c>
    </row>
    <row r="29" customFormat="false" ht="27.75" hidden="false" customHeight="true" outlineLevel="0" collapsed="false">
      <c r="A29" s="24"/>
      <c r="B29" s="25" t="s">
        <v>170</v>
      </c>
      <c r="C29" s="26" t="s">
        <v>171</v>
      </c>
      <c r="D29" s="13" t="n">
        <v>3</v>
      </c>
      <c r="E29" s="27" t="n">
        <v>15</v>
      </c>
    </row>
    <row r="30" customFormat="false" ht="27.75" hidden="false" customHeight="true" outlineLevel="0" collapsed="false">
      <c r="A30" s="20"/>
      <c r="B30" s="21" t="s">
        <v>175</v>
      </c>
      <c r="C30" s="22" t="s">
        <v>176</v>
      </c>
      <c r="D30" s="9" t="n">
        <v>4</v>
      </c>
      <c r="E30" s="23" t="n">
        <v>14</v>
      </c>
    </row>
    <row r="31" customFormat="false" ht="27.75" hidden="false" customHeight="true" outlineLevel="0" collapsed="false">
      <c r="A31" s="24"/>
      <c r="B31" s="25" t="s">
        <v>180</v>
      </c>
      <c r="C31" s="26" t="s">
        <v>181</v>
      </c>
      <c r="D31" s="13" t="n">
        <v>4</v>
      </c>
      <c r="E31" s="27" t="n">
        <v>14</v>
      </c>
    </row>
    <row r="32" customFormat="false" ht="21.75" hidden="false" customHeight="true" outlineLevel="0" collapsed="false">
      <c r="A32" s="19" t="s">
        <v>216</v>
      </c>
      <c r="B32" s="19"/>
      <c r="C32" s="19"/>
      <c r="D32" s="19"/>
      <c r="E32" s="19"/>
    </row>
    <row r="33" customFormat="false" ht="27.75" hidden="false" customHeight="true" outlineLevel="0" collapsed="false">
      <c r="A33" s="24"/>
      <c r="B33" s="25" t="s">
        <v>69</v>
      </c>
      <c r="C33" s="26" t="s">
        <v>71</v>
      </c>
      <c r="D33" s="13" t="n">
        <v>3</v>
      </c>
      <c r="E33" s="27" t="n">
        <v>24</v>
      </c>
    </row>
    <row r="34" customFormat="false" ht="21.75" hidden="false" customHeight="true" outlineLevel="0" collapsed="false">
      <c r="A34" s="19" t="s">
        <v>217</v>
      </c>
      <c r="B34" s="19"/>
      <c r="C34" s="19"/>
      <c r="D34" s="19"/>
      <c r="E34" s="19"/>
    </row>
    <row r="35" customFormat="false" ht="27.75" hidden="false" customHeight="true" outlineLevel="0" collapsed="false">
      <c r="A35" s="24"/>
      <c r="B35" s="25" t="s">
        <v>190</v>
      </c>
      <c r="C35" s="26" t="s">
        <v>192</v>
      </c>
      <c r="D35" s="13" t="n">
        <v>5</v>
      </c>
      <c r="E35" s="27" t="n">
        <v>5</v>
      </c>
    </row>
  </sheetData>
  <mergeCells count="6">
    <mergeCell ref="A1:E1"/>
    <mergeCell ref="A2:E2"/>
    <mergeCell ref="A5:E5"/>
    <mergeCell ref="A18:E18"/>
    <mergeCell ref="A32:E32"/>
    <mergeCell ref="A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60"/>
    <col collapsed="false" customWidth="true" hidden="false" outlineLevel="0" max="3" min="3" style="0" width="20"/>
  </cols>
  <sheetData>
    <row r="1" customFormat="false" ht="19.7" hidden="false" customHeight="false" outlineLevel="0" collapsed="false">
      <c r="A1" s="1" t="s">
        <v>218</v>
      </c>
      <c r="B1" s="1"/>
      <c r="C1" s="1"/>
    </row>
    <row r="3" customFormat="false" ht="15" hidden="false" customHeight="false" outlineLevel="0" collapsed="false">
      <c r="A3" s="5" t="s">
        <v>219</v>
      </c>
      <c r="B3" s="5"/>
      <c r="C3" s="5"/>
    </row>
    <row r="4" customFormat="false" ht="15" hidden="false" customHeight="true" outlineLevel="0" collapsed="false">
      <c r="A4" s="3"/>
      <c r="B4" s="4" t="s">
        <v>220</v>
      </c>
      <c r="C4" s="4"/>
    </row>
    <row r="5" customFormat="false" ht="23.85" hidden="false" customHeight="true" outlineLevel="0" collapsed="false">
      <c r="A5" s="3"/>
      <c r="B5" s="4" t="s">
        <v>221</v>
      </c>
      <c r="C5" s="4"/>
    </row>
    <row r="6" customFormat="false" ht="15" hidden="false" customHeight="true" outlineLevel="0" collapsed="false">
      <c r="A6" s="3"/>
      <c r="B6" s="4" t="s">
        <v>222</v>
      </c>
      <c r="C6" s="4"/>
    </row>
    <row r="7" customFormat="false" ht="15" hidden="false" customHeight="true" outlineLevel="0" collapsed="false">
      <c r="A7" s="3"/>
      <c r="B7" s="4" t="s">
        <v>223</v>
      </c>
      <c r="C7" s="4"/>
    </row>
    <row r="8" customFormat="false" ht="15" hidden="false" customHeight="true" outlineLevel="0" collapsed="false">
      <c r="A8" s="3"/>
      <c r="B8" s="4" t="s">
        <v>224</v>
      </c>
      <c r="C8" s="4"/>
    </row>
    <row r="10" customFormat="false" ht="15" hidden="false" customHeight="false" outlineLevel="0" collapsed="false">
      <c r="A10" s="5" t="s">
        <v>225</v>
      </c>
      <c r="B10" s="5"/>
      <c r="C10" s="5"/>
    </row>
    <row r="11" customFormat="false" ht="15" hidden="false" customHeight="true" outlineLevel="0" collapsed="false">
      <c r="A11" s="3" t="s">
        <v>226</v>
      </c>
      <c r="B11" s="4" t="s">
        <v>227</v>
      </c>
      <c r="C11" s="4"/>
    </row>
    <row r="12" customFormat="false" ht="15" hidden="false" customHeight="true" outlineLevel="0" collapsed="false">
      <c r="A12" s="3" t="s">
        <v>228</v>
      </c>
      <c r="B12" s="4" t="s">
        <v>229</v>
      </c>
      <c r="C12" s="4"/>
    </row>
    <row r="13" customFormat="false" ht="15" hidden="false" customHeight="true" outlineLevel="0" collapsed="false">
      <c r="A13" s="3" t="s">
        <v>230</v>
      </c>
      <c r="B13" s="4" t="s">
        <v>231</v>
      </c>
      <c r="C13" s="4"/>
    </row>
    <row r="14" customFormat="false" ht="15" hidden="false" customHeight="true" outlineLevel="0" collapsed="false">
      <c r="A14" s="3" t="s">
        <v>232</v>
      </c>
      <c r="B14" s="4" t="s">
        <v>233</v>
      </c>
      <c r="C14" s="4"/>
    </row>
    <row r="15" customFormat="false" ht="15" hidden="false" customHeight="true" outlineLevel="0" collapsed="false">
      <c r="A15" s="3" t="s">
        <v>234</v>
      </c>
      <c r="B15" s="4" t="s">
        <v>235</v>
      </c>
      <c r="C15" s="4"/>
    </row>
    <row r="16" customFormat="false" ht="15" hidden="false" customHeight="true" outlineLevel="0" collapsed="false">
      <c r="A16" s="3" t="s">
        <v>236</v>
      </c>
      <c r="B16" s="4" t="s">
        <v>237</v>
      </c>
      <c r="C16" s="4"/>
    </row>
    <row r="17" customFormat="false" ht="15" hidden="false" customHeight="true" outlineLevel="0" collapsed="false">
      <c r="A17" s="3" t="s">
        <v>238</v>
      </c>
      <c r="B17" s="4" t="s">
        <v>239</v>
      </c>
      <c r="C17" s="4"/>
    </row>
    <row r="18" customFormat="false" ht="15" hidden="false" customHeight="true" outlineLevel="0" collapsed="false">
      <c r="A18" s="3" t="s">
        <v>240</v>
      </c>
      <c r="B18" s="4" t="s">
        <v>241</v>
      </c>
      <c r="C18" s="4"/>
    </row>
    <row r="19" customFormat="false" ht="15" hidden="false" customHeight="true" outlineLevel="0" collapsed="false">
      <c r="A19" s="3" t="s">
        <v>242</v>
      </c>
      <c r="B19" s="4" t="s">
        <v>243</v>
      </c>
      <c r="C19" s="4"/>
    </row>
    <row r="20" customFormat="false" ht="15" hidden="false" customHeight="true" outlineLevel="0" collapsed="false">
      <c r="A20" s="3" t="s">
        <v>244</v>
      </c>
      <c r="B20" s="4" t="s">
        <v>245</v>
      </c>
      <c r="C20" s="4"/>
    </row>
    <row r="21" customFormat="false" ht="15" hidden="false" customHeight="true" outlineLevel="0" collapsed="false">
      <c r="A21" s="3" t="s">
        <v>246</v>
      </c>
      <c r="B21" s="4" t="s">
        <v>247</v>
      </c>
      <c r="C21" s="4"/>
    </row>
    <row r="22" customFormat="false" ht="15" hidden="false" customHeight="true" outlineLevel="0" collapsed="false">
      <c r="A22" s="3" t="s">
        <v>248</v>
      </c>
      <c r="B22" s="4" t="s">
        <v>249</v>
      </c>
      <c r="C22" s="4"/>
    </row>
    <row r="23" customFormat="false" ht="15" hidden="false" customHeight="true" outlineLevel="0" collapsed="false">
      <c r="A23" s="3" t="s">
        <v>250</v>
      </c>
      <c r="B23" s="4" t="s">
        <v>251</v>
      </c>
      <c r="C23" s="4"/>
    </row>
    <row r="24" customFormat="false" ht="15" hidden="false" customHeight="true" outlineLevel="0" collapsed="false">
      <c r="A24" s="3" t="s">
        <v>252</v>
      </c>
      <c r="B24" s="4" t="s">
        <v>253</v>
      </c>
      <c r="C24" s="4"/>
    </row>
    <row r="25" customFormat="false" ht="15" hidden="false" customHeight="true" outlineLevel="0" collapsed="false">
      <c r="A25" s="3" t="s">
        <v>254</v>
      </c>
      <c r="B25" s="4" t="s">
        <v>255</v>
      </c>
      <c r="C25" s="4"/>
    </row>
    <row r="26" customFormat="false" ht="15" hidden="false" customHeight="true" outlineLevel="0" collapsed="false">
      <c r="A26" s="3" t="s">
        <v>256</v>
      </c>
      <c r="B26" s="4" t="s">
        <v>257</v>
      </c>
      <c r="C26" s="4"/>
    </row>
    <row r="27" customFormat="false" ht="15" hidden="false" customHeight="true" outlineLevel="0" collapsed="false">
      <c r="A27" s="3" t="s">
        <v>258</v>
      </c>
      <c r="B27" s="4" t="s">
        <v>259</v>
      </c>
      <c r="C27" s="4"/>
    </row>
    <row r="28" customFormat="false" ht="15" hidden="false" customHeight="true" outlineLevel="0" collapsed="false">
      <c r="A28" s="3" t="s">
        <v>260</v>
      </c>
      <c r="B28" s="4" t="s">
        <v>261</v>
      </c>
      <c r="C28" s="4"/>
    </row>
    <row r="29" customFormat="false" ht="15" hidden="false" customHeight="true" outlineLevel="0" collapsed="false">
      <c r="A29" s="3" t="s">
        <v>262</v>
      </c>
      <c r="B29" s="4" t="s">
        <v>263</v>
      </c>
      <c r="C29" s="4"/>
    </row>
    <row r="30" customFormat="false" ht="15" hidden="false" customHeight="true" outlineLevel="0" collapsed="false">
      <c r="A30" s="3" t="s">
        <v>264</v>
      </c>
      <c r="B30" s="4" t="s">
        <v>265</v>
      </c>
      <c r="C30" s="4"/>
    </row>
    <row r="31" customFormat="false" ht="15" hidden="false" customHeight="true" outlineLevel="0" collapsed="false">
      <c r="A31" s="3" t="s">
        <v>266</v>
      </c>
      <c r="B31" s="4" t="s">
        <v>267</v>
      </c>
      <c r="C31" s="4"/>
    </row>
    <row r="32" customFormat="false" ht="15" hidden="false" customHeight="true" outlineLevel="0" collapsed="false">
      <c r="A32" s="3" t="s">
        <v>268</v>
      </c>
      <c r="B32" s="4" t="s">
        <v>269</v>
      </c>
      <c r="C32" s="4"/>
    </row>
    <row r="33" customFormat="false" ht="15" hidden="false" customHeight="true" outlineLevel="0" collapsed="false">
      <c r="A33" s="3" t="s">
        <v>270</v>
      </c>
      <c r="B33" s="4" t="s">
        <v>271</v>
      </c>
      <c r="C33" s="4"/>
    </row>
    <row r="34" customFormat="false" ht="15" hidden="false" customHeight="true" outlineLevel="0" collapsed="false">
      <c r="A34" s="3" t="s">
        <v>272</v>
      </c>
      <c r="B34" s="4" t="s">
        <v>273</v>
      </c>
      <c r="C34" s="4"/>
    </row>
    <row r="35" customFormat="false" ht="15" hidden="false" customHeight="true" outlineLevel="0" collapsed="false">
      <c r="A35" s="3" t="s">
        <v>274</v>
      </c>
      <c r="B35" s="4" t="s">
        <v>275</v>
      </c>
      <c r="C35" s="4"/>
    </row>
    <row r="36" customFormat="false" ht="23.85" hidden="false" customHeight="true" outlineLevel="0" collapsed="false">
      <c r="A36" s="3" t="s">
        <v>276</v>
      </c>
      <c r="B36" s="4" t="s">
        <v>277</v>
      </c>
      <c r="C36" s="4"/>
    </row>
    <row r="37" customFormat="false" ht="15" hidden="false" customHeight="true" outlineLevel="0" collapsed="false">
      <c r="A37" s="3" t="s">
        <v>278</v>
      </c>
      <c r="B37" s="4" t="s">
        <v>279</v>
      </c>
      <c r="C37" s="4"/>
    </row>
    <row r="39" customFormat="false" ht="15" hidden="false" customHeight="false" outlineLevel="0" collapsed="false">
      <c r="A39" s="5" t="s">
        <v>280</v>
      </c>
      <c r="B39" s="5"/>
      <c r="C39" s="5"/>
    </row>
    <row r="40" customFormat="false" ht="15" hidden="false" customHeight="true" outlineLevel="0" collapsed="false">
      <c r="A40" s="3"/>
      <c r="B40" s="4" t="s">
        <v>281</v>
      </c>
      <c r="C40" s="4"/>
    </row>
    <row r="41" customFormat="false" ht="15" hidden="false" customHeight="true" outlineLevel="0" collapsed="false">
      <c r="A41" s="3"/>
      <c r="B41" s="4" t="s">
        <v>282</v>
      </c>
      <c r="C41" s="4"/>
    </row>
    <row r="42" customFormat="false" ht="15" hidden="false" customHeight="true" outlineLevel="0" collapsed="false">
      <c r="A42" s="3"/>
      <c r="B42" s="4" t="s">
        <v>283</v>
      </c>
      <c r="C42" s="4"/>
    </row>
    <row r="43" customFormat="false" ht="23.85" hidden="false" customHeight="true" outlineLevel="0" collapsed="false">
      <c r="A43" s="3"/>
      <c r="B43" s="4" t="s">
        <v>284</v>
      </c>
      <c r="C43" s="4"/>
    </row>
  </sheetData>
  <mergeCells count="40">
    <mergeCell ref="A1:C1"/>
    <mergeCell ref="A3:C3"/>
    <mergeCell ref="B4:C4"/>
    <mergeCell ref="B5:C5"/>
    <mergeCell ref="B6:C6"/>
    <mergeCell ref="B7:C7"/>
    <mergeCell ref="B8:C8"/>
    <mergeCell ref="A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A39:C39"/>
    <mergeCell ref="B40:C40"/>
    <mergeCell ref="B41:C41"/>
    <mergeCell ref="B42:C42"/>
    <mergeCell ref="B43:C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2026-05-01T11:49:32Z</dcterms:created>
  <dc:creator>openpyxl</dc:creator>
  <dc:description/>
  <dc:language>en-US</dc:language>
  <cp:lastModifiedBy/>
  <dcterms:modified xsi:type="dcterms:W3CDTF">2026-05-01T11:49:32Z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